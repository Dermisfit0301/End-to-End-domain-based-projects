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shan\Downloads\"/>
    </mc:Choice>
  </mc:AlternateContent>
  <xr:revisionPtr revIDLastSave="0" documentId="13_ncr:1_{19F8B1D0-841C-4626-899E-F90B17694AFD}" xr6:coauthVersionLast="47" xr6:coauthVersionMax="47" xr10:uidLastSave="{00000000-0000-0000-0000-000000000000}"/>
  <bookViews>
    <workbookView xWindow="-120" yWindow="-120" windowWidth="29040" windowHeight="15840" firstSheet="2" activeTab="4" xr2:uid="{E89BDD5F-CFE4-4D7C-89C2-2F5BD116AEC3}"/>
  </bookViews>
  <sheets>
    <sheet name="Detail1" sheetId="4" state="hidden" r:id="rId1"/>
    <sheet name="Detail2" sheetId="7" state="hidden" r:id="rId2"/>
    <sheet name="Sheet3" sheetId="3" r:id="rId3"/>
    <sheet name="DATA" sheetId="1" r:id="rId4"/>
    <sheet name="DB" sheetId="2" r:id="rId5"/>
    <sheet name="PD" sheetId="5" r:id="rId6"/>
    <sheet name="SP" sheetId="6" r:id="rId7"/>
    <sheet name="AP" sheetId="9" r:id="rId8"/>
  </sheets>
  <definedNames>
    <definedName name="NativeTimeline_Date">#N/A</definedName>
    <definedName name="NativeTimeline_Date1">#N/A</definedName>
    <definedName name="NativeTimeline_Date2">#N/A</definedName>
    <definedName name="Slicer_Item">#N/A</definedName>
    <definedName name="Slicer_Item1">#N/A</definedName>
    <definedName name="Slicer_Region">#N/A</definedName>
    <definedName name="Slicer_Region1">#N/A</definedName>
    <definedName name="Slicer_Region2">#N/A</definedName>
    <definedName name="Slicer_Salesman">#N/A</definedName>
    <definedName name="Slicer_Salesman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45" i="3"/>
  <c r="C42" i="3"/>
</calcChain>
</file>

<file path=xl/sharedStrings.xml><?xml version="1.0" encoding="utf-8"?>
<sst xmlns="http://schemas.openxmlformats.org/spreadsheetml/2006/main" count="1493" uniqueCount="44">
  <si>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</si>
  <si>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</si>
  <si>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</si>
  <si>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</si>
  <si>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</si>
  <si>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</si>
  <si>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</si>
  <si>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</si>
  <si>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</si>
  <si>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</si>
  <si>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</si>
  <si>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</si>
  <si>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</si>
  <si>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</si>
  <si>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</si>
  <si>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</si>
  <si>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</si>
  <si>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</si>
  <si>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</si>
  <si>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</si>
  <si>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</si>
  <si>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</si>
  <si>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</si>
  <si>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</si>
  <si>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Amount</t>
  </si>
  <si>
    <t>Row Labels</t>
  </si>
  <si>
    <t>Grand Total</t>
  </si>
  <si>
    <t>Jan</t>
  </si>
  <si>
    <t>Feb</t>
  </si>
  <si>
    <t>Mar</t>
  </si>
  <si>
    <t>Apr</t>
  </si>
  <si>
    <t>May</t>
  </si>
  <si>
    <t>Jun</t>
  </si>
  <si>
    <t>Jul</t>
  </si>
  <si>
    <t>Aug</t>
  </si>
  <si>
    <t>Sep</t>
  </si>
  <si>
    <t>Oct</t>
  </si>
  <si>
    <t>Nov</t>
  </si>
  <si>
    <t>Dec</t>
  </si>
  <si>
    <t>Details for Sum of Amount - Region: South</t>
  </si>
  <si>
    <t>Count of Amount</t>
  </si>
  <si>
    <t>Sum of Qty</t>
  </si>
  <si>
    <t>Details for Sum of Qty - Salesman: Amit</t>
  </si>
  <si>
    <t>Average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</si>
</sst>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gt;=10000000]&quot;RS &quot;##\,##\,##\,##0;[&gt;=100000]\ ##\,##\,##0;&quot;RS &quot;#,###"/>
  </numFmts>
  <fonts count="3" x14ac:knownFonts="1">
    <font>
      <sz val="11"/>
      <color theme="1"/>
      <name val="Aptos Narrow"/>
      <family val="2"/>
      <scheme val="minor"/>
    </font>
    <font>
      <b/>
      <sz val="11"/>
      <color theme="1"/>
      <name val="Aptos Narrow"/>
      <family val="2"/>
      <scheme val="minor"/>
    </font>
    <font>
      <b/>
      <sz val="14"/>
      <color theme="1" tint="4.9989318521683403E-2"/>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2" xfId="0" applyBorder="1" applyAlignment="1">
      <alignment horizontal="left"/>
    </xf>
    <xf numFmtId="164" fontId="0" fillId="0" borderId="3" xfId="0" applyNumberFormat="1" applyBorder="1"/>
    <xf numFmtId="0" fontId="0" fillId="0" borderId="7" xfId="0" applyBorder="1" applyAlignment="1">
      <alignment horizontal="left"/>
    </xf>
    <xf numFmtId="14" fontId="0" fillId="0" borderId="8" xfId="0" applyNumberFormat="1" applyBorder="1" applyAlignment="1">
      <alignment horizontal="center"/>
    </xf>
    <xf numFmtId="0" fontId="0" fillId="0" borderId="8" xfId="0" applyBorder="1"/>
    <xf numFmtId="164" fontId="0" fillId="0" borderId="8" xfId="0" applyNumberFormat="1" applyBorder="1"/>
    <xf numFmtId="164" fontId="0" fillId="0" borderId="9" xfId="0" applyNumberFormat="1" applyBorder="1"/>
    <xf numFmtId="0" fontId="0" fillId="0" borderId="0" xfId="0" pivotButton="1"/>
    <xf numFmtId="0" fontId="2" fillId="2" borderId="4" xfId="0" applyFont="1" applyFill="1" applyBorder="1" applyAlignment="1">
      <alignment horizontal="left"/>
    </xf>
    <xf numFmtId="0" fontId="2" fillId="2" borderId="5" xfId="0" applyFont="1" applyFill="1" applyBorder="1" applyAlignment="1">
      <alignment horizontal="center"/>
    </xf>
    <xf numFmtId="0" fontId="2" fillId="2" borderId="5" xfId="0" applyFont="1" applyFill="1" applyBorder="1"/>
    <xf numFmtId="164" fontId="2" fillId="2" borderId="5" xfId="0" applyNumberFormat="1" applyFont="1" applyFill="1" applyBorder="1"/>
    <xf numFmtId="164" fontId="2" fillId="2" borderId="6" xfId="0" applyNumberFormat="1" applyFont="1" applyFill="1" applyBorder="1"/>
    <xf numFmtId="0" fontId="1" fillId="0" borderId="0" xfId="0" applyFont="1"/>
    <xf numFmtId="0" fontId="0" fillId="0" borderId="0" xfId="0" applyAlignment="1">
      <alignment horizontal="left"/>
    </xf>
    <xf numFmtId="14" fontId="0" fillId="0" borderId="0" xfId="0" applyNumberFormat="1"/>
    <xf numFmtId="37" fontId="0" fillId="0" borderId="0" xfId="0" applyNumberFormat="1"/>
    <xf numFmtId="165" fontId="0" fillId="0" borderId="0" xfId="0" applyNumberFormat="1"/>
    <xf numFmtId="2" fontId="0" fillId="0" borderId="0" xfId="0" applyNumberFormat="1"/>
    <xf numFmtId="0" fontId="0" fillId="0" borderId="0" xfId="0" applyNumberFormat="1"/>
    <xf numFmtId="1" fontId="0" fillId="0" borderId="0" xfId="0" applyNumberFormat="1"/>
  </cellXfs>
  <cellStyles count="1">
    <cellStyle name="Normal" xfId="0" builtinId="0"/>
  </cellStyles>
  <dxfs count="426">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5" formatCode="#,##0_);\(#,##0\)"/>
    </dxf>
    <dxf>
      <numFmt numFmtId="5" formatCode="#,##0_);\(#,##0\)"/>
    </dxf>
    <dxf>
      <numFmt numFmtId="0" formatCode="General"/>
    </dxf>
    <dxf>
      <numFmt numFmtId="5" formatCode="#,##0_);\(#,##0\)"/>
    </dxf>
    <dxf>
      <numFmt numFmtId="5" formatCode="#,##0_);\(#,##0\)"/>
    </dxf>
    <dxf>
      <numFmt numFmtId="165" formatCode="[&gt;=10000000]&quot;RS &quot;##\,##\,##\,##0;[&gt;=100000]\ ##\,##\,##0;&quot;RS &quot;#,###"/>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tint="4.9989318521683403E-2"/>
        <name val="Aptos Narrow"/>
        <family val="2"/>
        <scheme val="minor"/>
      </font>
      <numFmt numFmtId="164" formatCode="0.000"/>
      <fill>
        <patternFill patternType="solid">
          <fgColor indexed="64"/>
          <bgColor rgb="FFFFFF00"/>
        </patternFill>
      </fill>
      <border diagonalUp="0" diagonalDown="0" outline="0">
        <left style="thin">
          <color indexed="64"/>
        </left>
        <right style="thin">
          <color indexed="64"/>
        </right>
        <top/>
        <bottom/>
      </border>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gt;=10000000]&quot;RS &quot;##\,##\,##\,##0;[&gt;=100000]\ ##\,##\,##0;&quot;RS &quot;#,###"/>
    </dxf>
    <dxf>
      <numFmt numFmtId="5" formatCode="#,##0_);\(#,##0\)"/>
    </dxf>
    <dxf>
      <numFmt numFmtId="5" formatCode="#,##0_);\(#,##0\)"/>
    </dxf>
    <dxf>
      <numFmt numFmtId="0" formatCode="General"/>
    </dxf>
    <dxf>
      <numFmt numFmtId="0" formatCode="General"/>
    </dxf>
    <dxf>
      <numFmt numFmtId="5" formatCode="#,##0_);\(#,##0\)"/>
    </dxf>
    <dxf>
      <numFmt numFmtId="5" formatCode="#,##0_);\(#,##0\)"/>
    </dxf>
    <dxf>
      <font>
        <b val="0"/>
      </font>
    </dxf>
    <dxf>
      <font>
        <b val="0"/>
      </font>
    </dxf>
    <dxf>
      <font>
        <b val="0"/>
      </font>
    </dxf>
    <dxf>
      <font>
        <b val="0"/>
      </font>
    </dxf>
    <dxf>
      <font>
        <b val="0"/>
      </font>
    </dxf>
    <dxf>
      <font>
        <b val="0"/>
      </font>
    </dxf>
    <dxf>
      <font>
        <b val="0"/>
      </font>
      <numFmt numFmtId="19" formatCode="m/d/yyyy"/>
    </dxf>
    <dxf>
      <font>
        <b val="0"/>
      </font>
    </dxf>
    <dxf>
      <font>
        <b val="0"/>
      </font>
    </dxf>
    <dxf>
      <font>
        <b val="0"/>
      </font>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11/relationships/timelineCache" Target="timelineCaches/timeline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5E4A-4C6F-8084-6FACEE574FE9}"/>
            </c:ext>
          </c:extLst>
        </c:ser>
        <c:dLbls>
          <c:showLegendKey val="0"/>
          <c:showVal val="0"/>
          <c:showCatName val="0"/>
          <c:showSerName val="0"/>
          <c:showPercent val="0"/>
          <c:showBubbleSize val="0"/>
        </c:dLbls>
        <c:smooth val="0"/>
        <c:axId val="1266704239"/>
        <c:axId val="1266708079"/>
      </c:lineChart>
      <c:catAx>
        <c:axId val="12667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08079"/>
        <c:crosses val="autoZero"/>
        <c:auto val="1"/>
        <c:lblAlgn val="ctr"/>
        <c:lblOffset val="100"/>
        <c:noMultiLvlLbl val="0"/>
      </c:catAx>
      <c:valAx>
        <c:axId val="126670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0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Sheet3!$A$22:$A$26</c:f>
              <c:strCache>
                <c:ptCount val="4"/>
                <c:pt idx="0">
                  <c:v>East</c:v>
                </c:pt>
                <c:pt idx="1">
                  <c:v>North</c:v>
                </c:pt>
                <c:pt idx="2">
                  <c:v>South</c:v>
                </c:pt>
                <c:pt idx="3">
                  <c:v>West</c:v>
                </c:pt>
              </c:strCache>
            </c:strRef>
          </c:cat>
          <c:val>
            <c:numRef>
              <c:f>Sheet3!$B$22:$B$26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7A49-4BE2-9D18-B031EECDAC34}"/>
            </c:ext>
          </c:extLst>
        </c:ser>
        <c:dLbls>
          <c:dLblPos val="outEnd"/>
          <c:showLegendKey val="0"/>
          <c:showVal val="1"/>
          <c:showCatName val="0"/>
          <c:showSerName val="0"/>
          <c:showPercent val="0"/>
          <c:showBubbleSize val="0"/>
        </c:dLbls>
        <c:gapWidth val="219"/>
        <c:overlap val="-27"/>
        <c:axId val="1266783919"/>
        <c:axId val="1266778159"/>
      </c:barChart>
      <c:catAx>
        <c:axId val="126678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66778159"/>
        <c:crosses val="autoZero"/>
        <c:auto val="1"/>
        <c:lblAlgn val="ctr"/>
        <c:lblOffset val="100"/>
        <c:noMultiLvlLbl val="0"/>
      </c:catAx>
      <c:valAx>
        <c:axId val="1266778159"/>
        <c:scaling>
          <c:orientation val="minMax"/>
        </c:scaling>
        <c:delete val="1"/>
        <c:axPos val="l"/>
        <c:numFmt formatCode="General" sourceLinked="1"/>
        <c:majorTickMark val="none"/>
        <c:minorTickMark val="none"/>
        <c:tickLblPos val="nextTo"/>
        <c:crossAx val="1266783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Sheet3!$A$31:$A$37</c:f>
              <c:strCache>
                <c:ptCount val="6"/>
                <c:pt idx="0">
                  <c:v>Keyboard</c:v>
                </c:pt>
                <c:pt idx="1">
                  <c:v>Monitor</c:v>
                </c:pt>
                <c:pt idx="2">
                  <c:v>Mouse</c:v>
                </c:pt>
                <c:pt idx="3">
                  <c:v>Printer</c:v>
                </c:pt>
                <c:pt idx="4">
                  <c:v>Scanner</c:v>
                </c:pt>
                <c:pt idx="5">
                  <c:v>Speaker</c:v>
                </c:pt>
              </c:strCache>
            </c:strRef>
          </c:cat>
          <c:val>
            <c:numRef>
              <c:f>Sheet3!$B$31:$B$37</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3-C3E9-4171-9F09-44D925A7F92C}"/>
            </c:ext>
          </c:extLst>
        </c:ser>
        <c:dLbls>
          <c:dLblPos val="outEnd"/>
          <c:showLegendKey val="0"/>
          <c:showVal val="1"/>
          <c:showCatName val="0"/>
          <c:showSerName val="0"/>
          <c:showPercent val="0"/>
          <c:showBubbleSize val="0"/>
        </c:dLbls>
        <c:gapWidth val="182"/>
        <c:axId val="1266814159"/>
        <c:axId val="1266792559"/>
      </c:barChart>
      <c:catAx>
        <c:axId val="126681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6792559"/>
        <c:crosses val="autoZero"/>
        <c:auto val="1"/>
        <c:lblAlgn val="ctr"/>
        <c:lblOffset val="100"/>
        <c:noMultiLvlLbl val="0"/>
      </c:catAx>
      <c:valAx>
        <c:axId val="126679255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6681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1).xlsx]Sheet3!PivotTable9</c:name>
    <c:fmtId val="36"/>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Sheet3!$B$48</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Sheet3!$A$49:$A$52</c:f>
              <c:strCache>
                <c:ptCount val="3"/>
                <c:pt idx="0">
                  <c:v>Printer</c:v>
                </c:pt>
                <c:pt idx="1">
                  <c:v>Mouse</c:v>
                </c:pt>
                <c:pt idx="2">
                  <c:v>Monitor</c:v>
                </c:pt>
              </c:strCache>
            </c:strRef>
          </c:cat>
          <c:val>
            <c:numRef>
              <c:f>Sheet3!$B$49:$B$52</c:f>
              <c:numCache>
                <c:formatCode>General</c:formatCode>
                <c:ptCount val="3"/>
                <c:pt idx="0">
                  <c:v>445</c:v>
                </c:pt>
                <c:pt idx="1">
                  <c:v>319</c:v>
                </c:pt>
                <c:pt idx="2">
                  <c:v>251</c:v>
                </c:pt>
              </c:numCache>
            </c:numRef>
          </c:val>
          <c:extLst>
            <c:ext xmlns:c16="http://schemas.microsoft.com/office/drawing/2014/chart" uri="{C3380CC4-5D6E-409C-BE32-E72D297353CC}">
              <c16:uniqueId val="{00000000-BB8D-4789-886D-2DF623ACC17C}"/>
            </c:ext>
          </c:extLst>
        </c:ser>
        <c:dLbls>
          <c:dLblPos val="outEnd"/>
          <c:showLegendKey val="0"/>
          <c:showVal val="1"/>
          <c:showCatName val="0"/>
          <c:showSerName val="0"/>
          <c:showPercent val="0"/>
          <c:showBubbleSize val="0"/>
        </c:dLbls>
        <c:gapWidth val="219"/>
        <c:axId val="1266745519"/>
        <c:axId val="1266731599"/>
      </c:barChart>
      <c:catAx>
        <c:axId val="126674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66731599"/>
        <c:crosses val="autoZero"/>
        <c:auto val="1"/>
        <c:lblAlgn val="ctr"/>
        <c:lblOffset val="100"/>
        <c:noMultiLvlLbl val="0"/>
      </c:catAx>
      <c:valAx>
        <c:axId val="1266731599"/>
        <c:scaling>
          <c:orientation val="minMax"/>
        </c:scaling>
        <c:delete val="1"/>
        <c:axPos val="b"/>
        <c:numFmt formatCode="General" sourceLinked="1"/>
        <c:majorTickMark val="none"/>
        <c:minorTickMark val="none"/>
        <c:tickLblPos val="nextTo"/>
        <c:crossAx val="1266745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1).xlsx]Sheet3!PivotTable10</c:name>
    <c:fmtId val="39"/>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9877515310586"/>
          <c:y val="0"/>
          <c:w val="0.81670122484689411"/>
          <c:h val="0.89814814814814814"/>
        </c:manualLayout>
      </c:layout>
      <c:barChart>
        <c:barDir val="bar"/>
        <c:grouping val="clustered"/>
        <c:varyColors val="0"/>
        <c:ser>
          <c:idx val="0"/>
          <c:order val="0"/>
          <c:tx>
            <c:strRef>
              <c:f>Sheet3!$B$57</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Sheet3!$A$58:$A$61</c:f>
              <c:strCache>
                <c:ptCount val="3"/>
                <c:pt idx="0">
                  <c:v>Keyboard</c:v>
                </c:pt>
                <c:pt idx="1">
                  <c:v>Speaker</c:v>
                </c:pt>
                <c:pt idx="2">
                  <c:v>Scanner</c:v>
                </c:pt>
              </c:strCache>
            </c:strRef>
          </c:cat>
          <c:val>
            <c:numRef>
              <c:f>Sheet3!$B$58:$B$61</c:f>
              <c:numCache>
                <c:formatCode>General</c:formatCode>
                <c:ptCount val="3"/>
                <c:pt idx="0">
                  <c:v>132</c:v>
                </c:pt>
                <c:pt idx="1">
                  <c:v>218</c:v>
                </c:pt>
                <c:pt idx="2">
                  <c:v>242</c:v>
                </c:pt>
              </c:numCache>
            </c:numRef>
          </c:val>
          <c:extLst>
            <c:ext xmlns:c16="http://schemas.microsoft.com/office/drawing/2014/chart" uri="{C3380CC4-5D6E-409C-BE32-E72D297353CC}">
              <c16:uniqueId val="{00000000-5486-4468-9405-C4B83597EA2B}"/>
            </c:ext>
          </c:extLst>
        </c:ser>
        <c:dLbls>
          <c:dLblPos val="outEnd"/>
          <c:showLegendKey val="0"/>
          <c:showVal val="1"/>
          <c:showCatName val="0"/>
          <c:showSerName val="0"/>
          <c:showPercent val="0"/>
          <c:showBubbleSize val="0"/>
        </c:dLbls>
        <c:gapWidth val="182"/>
        <c:axId val="1266765199"/>
        <c:axId val="1266771439"/>
      </c:barChart>
      <c:catAx>
        <c:axId val="126676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66771439"/>
        <c:crosses val="autoZero"/>
        <c:auto val="1"/>
        <c:lblAlgn val="ctr"/>
        <c:lblOffset val="100"/>
        <c:noMultiLvlLbl val="0"/>
      </c:catAx>
      <c:valAx>
        <c:axId val="1266771439"/>
        <c:scaling>
          <c:orientation val="minMax"/>
        </c:scaling>
        <c:delete val="1"/>
        <c:axPos val="b"/>
        <c:numFmt formatCode="General" sourceLinked="1"/>
        <c:majorTickMark val="none"/>
        <c:minorTickMark val="none"/>
        <c:tickLblPos val="nextTo"/>
        <c:crossAx val="126676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1).xlsx]Sheet3!PivotTable11</c:name>
    <c:fmtId val="48"/>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Sheet3!$B$66</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Sheet3!$A$67:$A$70</c:f>
              <c:strCache>
                <c:ptCount val="3"/>
                <c:pt idx="0">
                  <c:v>Rohit Das</c:v>
                </c:pt>
                <c:pt idx="1">
                  <c:v>Ajit Kumar</c:v>
                </c:pt>
                <c:pt idx="2">
                  <c:v>Siddhu</c:v>
                </c:pt>
              </c:strCache>
            </c:strRef>
          </c:cat>
          <c:val>
            <c:numRef>
              <c:f>Sheet3!$B$67:$B$70</c:f>
              <c:numCache>
                <c:formatCode>General</c:formatCode>
                <c:ptCount val="3"/>
                <c:pt idx="0">
                  <c:v>360</c:v>
                </c:pt>
                <c:pt idx="1">
                  <c:v>394</c:v>
                </c:pt>
                <c:pt idx="2">
                  <c:v>419</c:v>
                </c:pt>
              </c:numCache>
            </c:numRef>
          </c:val>
          <c:extLst>
            <c:ext xmlns:c16="http://schemas.microsoft.com/office/drawing/2014/chart" uri="{C3380CC4-5D6E-409C-BE32-E72D297353CC}">
              <c16:uniqueId val="{00000000-B7EE-4ADF-B824-FF2AE447D6AB}"/>
            </c:ext>
          </c:extLst>
        </c:ser>
        <c:dLbls>
          <c:dLblPos val="outEnd"/>
          <c:showLegendKey val="0"/>
          <c:showVal val="1"/>
          <c:showCatName val="0"/>
          <c:showSerName val="0"/>
          <c:showPercent val="0"/>
          <c:showBubbleSize val="0"/>
        </c:dLbls>
        <c:gapWidth val="182"/>
        <c:axId val="1475897535"/>
        <c:axId val="1475884095"/>
      </c:barChart>
      <c:catAx>
        <c:axId val="14758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475884095"/>
        <c:crosses val="autoZero"/>
        <c:auto val="1"/>
        <c:lblAlgn val="ctr"/>
        <c:lblOffset val="100"/>
        <c:noMultiLvlLbl val="0"/>
      </c:catAx>
      <c:valAx>
        <c:axId val="1475884095"/>
        <c:scaling>
          <c:orientation val="minMax"/>
        </c:scaling>
        <c:delete val="1"/>
        <c:axPos val="b"/>
        <c:numFmt formatCode="General" sourceLinked="1"/>
        <c:majorTickMark val="none"/>
        <c:minorTickMark val="none"/>
        <c:tickLblPos val="nextTo"/>
        <c:crossAx val="14758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1).xlsx]Sheet3!PivotTable7</c:name>
    <c:fmtId val="46"/>
  </c:pivotSource>
  <c:chart>
    <c:autoTitleDeleted val="1"/>
    <c:pivotFmts>
      <c:pivotFmt>
        <c:idx val="0"/>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83349518810148726"/>
        </c:manualLayout>
      </c:layout>
      <c:barChart>
        <c:barDir val="col"/>
        <c:grouping val="clustered"/>
        <c:varyColors val="0"/>
        <c:ser>
          <c:idx val="0"/>
          <c:order val="0"/>
          <c:tx>
            <c:strRef>
              <c:f>Sheet3!$B$83</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Sheet3!$A$84:$A$90</c:f>
              <c:strCache>
                <c:ptCount val="6"/>
                <c:pt idx="0">
                  <c:v>Printer</c:v>
                </c:pt>
                <c:pt idx="1">
                  <c:v>Monitor</c:v>
                </c:pt>
                <c:pt idx="2">
                  <c:v>Scanner</c:v>
                </c:pt>
                <c:pt idx="3">
                  <c:v>Mouse</c:v>
                </c:pt>
                <c:pt idx="4">
                  <c:v>Speaker</c:v>
                </c:pt>
                <c:pt idx="5">
                  <c:v>Keyboard</c:v>
                </c:pt>
              </c:strCache>
            </c:strRef>
          </c:cat>
          <c:val>
            <c:numRef>
              <c:f>Sheet3!$B$84:$B$90</c:f>
              <c:numCache>
                <c:formatCode>0.00</c:formatCode>
                <c:ptCount val="6"/>
                <c:pt idx="0">
                  <c:v>6.095890410958904</c:v>
                </c:pt>
                <c:pt idx="1">
                  <c:v>5.5777777777777775</c:v>
                </c:pt>
                <c:pt idx="2">
                  <c:v>4.5660377358490569</c:v>
                </c:pt>
                <c:pt idx="3">
                  <c:v>3.9874999999999998</c:v>
                </c:pt>
                <c:pt idx="4">
                  <c:v>3.5737704918032787</c:v>
                </c:pt>
                <c:pt idx="5">
                  <c:v>2.4444444444444446</c:v>
                </c:pt>
              </c:numCache>
            </c:numRef>
          </c:val>
          <c:extLst>
            <c:ext xmlns:c16="http://schemas.microsoft.com/office/drawing/2014/chart" uri="{C3380CC4-5D6E-409C-BE32-E72D297353CC}">
              <c16:uniqueId val="{00000000-F3C6-4A33-BDEA-B518F88B35CB}"/>
            </c:ext>
          </c:extLst>
        </c:ser>
        <c:dLbls>
          <c:dLblPos val="outEnd"/>
          <c:showLegendKey val="0"/>
          <c:showVal val="1"/>
          <c:showCatName val="0"/>
          <c:showSerName val="0"/>
          <c:showPercent val="0"/>
          <c:showBubbleSize val="0"/>
        </c:dLbls>
        <c:gapWidth val="219"/>
        <c:overlap val="-27"/>
        <c:axId val="867015807"/>
        <c:axId val="866990367"/>
      </c:barChart>
      <c:catAx>
        <c:axId val="86701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6990367"/>
        <c:crosses val="autoZero"/>
        <c:auto val="1"/>
        <c:lblAlgn val="ctr"/>
        <c:lblOffset val="100"/>
        <c:noMultiLvlLbl val="0"/>
      </c:catAx>
      <c:valAx>
        <c:axId val="866990367"/>
        <c:scaling>
          <c:orientation val="minMax"/>
        </c:scaling>
        <c:delete val="1"/>
        <c:axPos val="l"/>
        <c:numFmt formatCode="0.00" sourceLinked="1"/>
        <c:majorTickMark val="none"/>
        <c:minorTickMark val="none"/>
        <c:tickLblPos val="nextTo"/>
        <c:crossAx val="8670158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1).xlsx]Sheet3!PivotTable12</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Sheet3!$A$77:$A$80</c:f>
              <c:strCache>
                <c:ptCount val="3"/>
                <c:pt idx="0">
                  <c:v>Amit</c:v>
                </c:pt>
                <c:pt idx="1">
                  <c:v>Ramesh</c:v>
                </c:pt>
                <c:pt idx="2">
                  <c:v>Chandu</c:v>
                </c:pt>
              </c:strCache>
            </c:strRef>
          </c:cat>
          <c:val>
            <c:numRef>
              <c:f>Sheet3!$B$77:$B$80</c:f>
              <c:numCache>
                <c:formatCode>General</c:formatCode>
                <c:ptCount val="3"/>
                <c:pt idx="0">
                  <c:v>146</c:v>
                </c:pt>
                <c:pt idx="1">
                  <c:v>144</c:v>
                </c:pt>
                <c:pt idx="2">
                  <c:v>144</c:v>
                </c:pt>
              </c:numCache>
            </c:numRef>
          </c:val>
          <c:extLst>
            <c:ext xmlns:c16="http://schemas.microsoft.com/office/drawing/2014/chart" uri="{C3380CC4-5D6E-409C-BE32-E72D297353CC}">
              <c16:uniqueId val="{00000000-49FB-412C-9DC8-1CD615E01F95}"/>
            </c:ext>
          </c:extLst>
        </c:ser>
        <c:dLbls>
          <c:dLblPos val="outEnd"/>
          <c:showLegendKey val="0"/>
          <c:showVal val="1"/>
          <c:showCatName val="0"/>
          <c:showSerName val="0"/>
          <c:showPercent val="0"/>
          <c:showBubbleSize val="0"/>
        </c:dLbls>
        <c:gapWidth val="182"/>
        <c:axId val="97054399"/>
        <c:axId val="97049119"/>
      </c:barChart>
      <c:catAx>
        <c:axId val="97054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9119"/>
        <c:crosses val="autoZero"/>
        <c:auto val="1"/>
        <c:lblAlgn val="ctr"/>
        <c:lblOffset val="100"/>
        <c:noMultiLvlLbl val="0"/>
      </c:catAx>
      <c:valAx>
        <c:axId val="97049119"/>
        <c:scaling>
          <c:orientation val="minMax"/>
        </c:scaling>
        <c:delete val="1"/>
        <c:axPos val="b"/>
        <c:numFmt formatCode="General" sourceLinked="1"/>
        <c:majorTickMark val="out"/>
        <c:minorTickMark val="none"/>
        <c:tickLblPos val="nextTo"/>
        <c:crossAx val="9705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1).xlsx]Sheet3!PivotTable6</c:name>
    <c:fmtId val="63"/>
  </c:pivotSource>
  <c:chart>
    <c:autoTitleDeleted val="1"/>
    <c:pivotFmts>
      <c:pivotFmt>
        <c:idx val="0"/>
        <c:spPr>
          <a:solidFill>
            <a:schemeClr val="accent1"/>
          </a:solidFill>
          <a:ln>
            <a:noFill/>
          </a:ln>
          <a:effectLst/>
        </c:spPr>
        <c:marker>
          <c:symbol val="none"/>
        </c:marker>
        <c:dLbl>
          <c:idx val="0"/>
          <c:numFmt formatCode="\₹#,##0.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Sheet3!$B$93</c:f>
              <c:strCache>
                <c:ptCount val="1"/>
                <c:pt idx="0">
                  <c:v>Total</c:v>
                </c:pt>
              </c:strCache>
            </c:strRef>
          </c:tx>
          <c:spPr>
            <a:solidFill>
              <a:schemeClr val="accent1"/>
            </a:solidFill>
            <a:ln>
              <a:noFill/>
            </a:ln>
            <a:effectLst/>
          </c:spPr>
          <c:invertIfNegative val="0"/>
          <c:dLbls>
            <c:numFmt formatCode="\₹#,##0.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Sheet3!$A$94:$A$100</c:f>
              <c:strCache>
                <c:ptCount val="6"/>
                <c:pt idx="0">
                  <c:v>Ajit Kumar</c:v>
                </c:pt>
                <c:pt idx="1">
                  <c:v>Amit</c:v>
                </c:pt>
                <c:pt idx="2">
                  <c:v>Chandu</c:v>
                </c:pt>
                <c:pt idx="3">
                  <c:v>Ramesh</c:v>
                </c:pt>
                <c:pt idx="4">
                  <c:v>Rohit Das</c:v>
                </c:pt>
                <c:pt idx="5">
                  <c:v>Siddhu</c:v>
                </c:pt>
              </c:strCache>
            </c:strRef>
          </c:cat>
          <c:val>
            <c:numRef>
              <c:f>Sheet3!$B$94:$B$100</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B664-4B8C-A183-161D09BF3CA6}"/>
            </c:ext>
          </c:extLst>
        </c:ser>
        <c:dLbls>
          <c:dLblPos val="outEnd"/>
          <c:showLegendKey val="0"/>
          <c:showVal val="1"/>
          <c:showCatName val="0"/>
          <c:showSerName val="0"/>
          <c:showPercent val="0"/>
          <c:showBubbleSize val="0"/>
        </c:dLbls>
        <c:gapWidth val="219"/>
        <c:overlap val="-27"/>
        <c:axId val="851849808"/>
        <c:axId val="851855568"/>
      </c:barChart>
      <c:catAx>
        <c:axId val="8518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51855568"/>
        <c:crosses val="autoZero"/>
        <c:auto val="1"/>
        <c:lblAlgn val="ctr"/>
        <c:lblOffset val="100"/>
        <c:noMultiLvlLbl val="0"/>
      </c:catAx>
      <c:valAx>
        <c:axId val="851855568"/>
        <c:scaling>
          <c:orientation val="minMax"/>
        </c:scaling>
        <c:delete val="1"/>
        <c:axPos val="l"/>
        <c:numFmt formatCode="General" sourceLinked="1"/>
        <c:majorTickMark val="none"/>
        <c:minorTickMark val="none"/>
        <c:tickLblPos val="nextTo"/>
        <c:crossAx val="85184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0,&quot;K&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Lbls>
            <c:numFmt formatCode="\₹#,##0.00,&quot;K&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FF26-43C3-BF5D-5EAE923C28E3}"/>
            </c:ext>
          </c:extLst>
        </c:ser>
        <c:dLbls>
          <c:dLblPos val="t"/>
          <c:showLegendKey val="0"/>
          <c:showVal val="1"/>
          <c:showCatName val="0"/>
          <c:showSerName val="0"/>
          <c:showPercent val="0"/>
          <c:showBubbleSize val="0"/>
        </c:dLbls>
        <c:smooth val="0"/>
        <c:axId val="1266704239"/>
        <c:axId val="1266708079"/>
      </c:lineChart>
      <c:catAx>
        <c:axId val="12667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08079"/>
        <c:crosses val="autoZero"/>
        <c:auto val="1"/>
        <c:lblAlgn val="ctr"/>
        <c:lblOffset val="100"/>
        <c:noMultiLvlLbl val="0"/>
      </c:catAx>
      <c:valAx>
        <c:axId val="1266708079"/>
        <c:scaling>
          <c:orientation val="minMax"/>
        </c:scaling>
        <c:delete val="1"/>
        <c:axPos val="l"/>
        <c:numFmt formatCode="General" sourceLinked="1"/>
        <c:majorTickMark val="none"/>
        <c:minorTickMark val="none"/>
        <c:tickLblPos val="nextTo"/>
        <c:crossAx val="126670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Sheet3!$B$21</c:f>
              <c:strCache>
                <c:ptCount val="1"/>
                <c:pt idx="0">
                  <c:v>Total</c:v>
                </c:pt>
              </c:strCache>
            </c:strRef>
          </c:tx>
          <c:spPr>
            <a:solidFill>
              <a:schemeClr val="accent1"/>
            </a:solidFill>
            <a:ln>
              <a:noFill/>
            </a:ln>
            <a:effectLst/>
          </c:spPr>
          <c:invertIfNegative val="0"/>
          <c:dLbls>
            <c:numFmt formatCode="\₹#,##0.00,&quot;K&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Sheet3!$A$22:$A$26</c:f>
              <c:strCache>
                <c:ptCount val="4"/>
                <c:pt idx="0">
                  <c:v>East</c:v>
                </c:pt>
                <c:pt idx="1">
                  <c:v>North</c:v>
                </c:pt>
                <c:pt idx="2">
                  <c:v>South</c:v>
                </c:pt>
                <c:pt idx="3">
                  <c:v>West</c:v>
                </c:pt>
              </c:strCache>
            </c:strRef>
          </c:cat>
          <c:val>
            <c:numRef>
              <c:f>Sheet3!$B$22:$B$26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0AD4-4579-B470-81EB62CC58AC}"/>
            </c:ext>
          </c:extLst>
        </c:ser>
        <c:dLbls>
          <c:dLblPos val="outEnd"/>
          <c:showLegendKey val="0"/>
          <c:showVal val="1"/>
          <c:showCatName val="0"/>
          <c:showSerName val="0"/>
          <c:showPercent val="0"/>
          <c:showBubbleSize val="0"/>
        </c:dLbls>
        <c:gapWidth val="219"/>
        <c:overlap val="-27"/>
        <c:axId val="1266783919"/>
        <c:axId val="1266778159"/>
      </c:barChart>
      <c:catAx>
        <c:axId val="126678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66778159"/>
        <c:crosses val="autoZero"/>
        <c:auto val="1"/>
        <c:lblAlgn val="ctr"/>
        <c:lblOffset val="100"/>
        <c:noMultiLvlLbl val="0"/>
      </c:catAx>
      <c:valAx>
        <c:axId val="1266778159"/>
        <c:scaling>
          <c:orientation val="minMax"/>
        </c:scaling>
        <c:delete val="1"/>
        <c:axPos val="l"/>
        <c:numFmt formatCode="General" sourceLinked="1"/>
        <c:majorTickMark val="none"/>
        <c:minorTickMark val="none"/>
        <c:tickLblPos val="nextTo"/>
        <c:crossAx val="1266783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K&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4365704286964"/>
          <c:y val="5.7291666666666664E-2"/>
          <c:w val="0.80675634295713039"/>
          <c:h val="0.88541666666666663"/>
        </c:manualLayout>
      </c:layout>
      <c:barChart>
        <c:barDir val="bar"/>
        <c:grouping val="clustered"/>
        <c:varyColors val="0"/>
        <c:ser>
          <c:idx val="0"/>
          <c:order val="0"/>
          <c:tx>
            <c:strRef>
              <c:f>Sheet3!$B$30</c:f>
              <c:strCache>
                <c:ptCount val="1"/>
                <c:pt idx="0">
                  <c:v>Total</c:v>
                </c:pt>
              </c:strCache>
            </c:strRef>
          </c:tx>
          <c:spPr>
            <a:solidFill>
              <a:schemeClr val="accent1"/>
            </a:solidFill>
            <a:ln>
              <a:noFill/>
            </a:ln>
            <a:effectLst/>
          </c:spPr>
          <c:invertIfNegative val="0"/>
          <c:dLbls>
            <c:numFmt formatCode="\₹#,##0.00,&quot;K&quot;"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Sheet3!$A$31:$A$37</c:f>
              <c:strCache>
                <c:ptCount val="6"/>
                <c:pt idx="0">
                  <c:v>Keyboard</c:v>
                </c:pt>
                <c:pt idx="1">
                  <c:v>Monitor</c:v>
                </c:pt>
                <c:pt idx="2">
                  <c:v>Mouse</c:v>
                </c:pt>
                <c:pt idx="3">
                  <c:v>Printer</c:v>
                </c:pt>
                <c:pt idx="4">
                  <c:v>Scanner</c:v>
                </c:pt>
                <c:pt idx="5">
                  <c:v>Speaker</c:v>
                </c:pt>
              </c:strCache>
            </c:strRef>
          </c:cat>
          <c:val>
            <c:numRef>
              <c:f>Sheet3!$B$31:$B$37</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3-4402-475D-A1CD-A3ACCB29BD8F}"/>
            </c:ext>
          </c:extLst>
        </c:ser>
        <c:dLbls>
          <c:dLblPos val="outEnd"/>
          <c:showLegendKey val="0"/>
          <c:showVal val="1"/>
          <c:showCatName val="0"/>
          <c:showSerName val="0"/>
          <c:showPercent val="0"/>
          <c:showBubbleSize val="0"/>
        </c:dLbls>
        <c:gapWidth val="182"/>
        <c:axId val="1266814159"/>
        <c:axId val="1266792559"/>
      </c:barChart>
      <c:catAx>
        <c:axId val="126681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6792559"/>
        <c:crosses val="autoZero"/>
        <c:auto val="1"/>
        <c:lblAlgn val="ctr"/>
        <c:lblOffset val="100"/>
        <c:noMultiLvlLbl val="0"/>
      </c:catAx>
      <c:valAx>
        <c:axId val="1266792559"/>
        <c:scaling>
          <c:orientation val="minMax"/>
        </c:scaling>
        <c:delete val="1"/>
        <c:axPos val="b"/>
        <c:numFmt formatCode="General" sourceLinked="1"/>
        <c:majorTickMark val="none"/>
        <c:minorTickMark val="none"/>
        <c:tickLblPos val="nextTo"/>
        <c:crossAx val="126681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1).xlsx]Sheet3!PivotTable10</c:name>
    <c:fmtId val="43"/>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9877515310586"/>
          <c:y val="0.10185185185185185"/>
          <c:w val="0.81670122484689411"/>
          <c:h val="0.89814814814814814"/>
        </c:manualLayout>
      </c:layout>
      <c:barChart>
        <c:barDir val="bar"/>
        <c:grouping val="clustered"/>
        <c:varyColors val="0"/>
        <c:ser>
          <c:idx val="0"/>
          <c:order val="0"/>
          <c:tx>
            <c:strRef>
              <c:f>Sheet3!$B$57</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Sheet3!$A$58:$A$61</c:f>
              <c:strCache>
                <c:ptCount val="3"/>
                <c:pt idx="0">
                  <c:v>Keyboard</c:v>
                </c:pt>
                <c:pt idx="1">
                  <c:v>Speaker</c:v>
                </c:pt>
                <c:pt idx="2">
                  <c:v>Scanner</c:v>
                </c:pt>
              </c:strCache>
            </c:strRef>
          </c:cat>
          <c:val>
            <c:numRef>
              <c:f>Sheet3!$B$58:$B$61</c:f>
              <c:numCache>
                <c:formatCode>General</c:formatCode>
                <c:ptCount val="3"/>
                <c:pt idx="0">
                  <c:v>132</c:v>
                </c:pt>
                <c:pt idx="1">
                  <c:v>218</c:v>
                </c:pt>
                <c:pt idx="2">
                  <c:v>242</c:v>
                </c:pt>
              </c:numCache>
            </c:numRef>
          </c:val>
          <c:extLst>
            <c:ext xmlns:c16="http://schemas.microsoft.com/office/drawing/2014/chart" uri="{C3380CC4-5D6E-409C-BE32-E72D297353CC}">
              <c16:uniqueId val="{00000000-96E7-4E14-AEFB-E44A85BE1F8E}"/>
            </c:ext>
          </c:extLst>
        </c:ser>
        <c:dLbls>
          <c:dLblPos val="outEnd"/>
          <c:showLegendKey val="0"/>
          <c:showVal val="1"/>
          <c:showCatName val="0"/>
          <c:showSerName val="0"/>
          <c:showPercent val="0"/>
          <c:showBubbleSize val="0"/>
        </c:dLbls>
        <c:gapWidth val="182"/>
        <c:axId val="1266765199"/>
        <c:axId val="1266771439"/>
      </c:barChart>
      <c:catAx>
        <c:axId val="126676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6771439"/>
        <c:crosses val="autoZero"/>
        <c:auto val="1"/>
        <c:lblAlgn val="ctr"/>
        <c:lblOffset val="100"/>
        <c:noMultiLvlLbl val="0"/>
      </c:catAx>
      <c:valAx>
        <c:axId val="1266771439"/>
        <c:scaling>
          <c:orientation val="minMax"/>
        </c:scaling>
        <c:delete val="1"/>
        <c:axPos val="b"/>
        <c:numFmt formatCode="General" sourceLinked="1"/>
        <c:majorTickMark val="none"/>
        <c:minorTickMark val="none"/>
        <c:tickLblPos val="nextTo"/>
        <c:crossAx val="126676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1).xlsx]Sheet3!PivotTable9</c:name>
    <c:fmtId val="40"/>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61592300962381"/>
          <c:y val="0"/>
          <c:w val="0.82538407699037619"/>
          <c:h val="0.89814814814814814"/>
        </c:manualLayout>
      </c:layout>
      <c:barChart>
        <c:barDir val="bar"/>
        <c:grouping val="clustered"/>
        <c:varyColors val="0"/>
        <c:ser>
          <c:idx val="0"/>
          <c:order val="0"/>
          <c:tx>
            <c:strRef>
              <c:f>Sheet3!$B$48</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Sheet3!$A$49:$A$52</c:f>
              <c:strCache>
                <c:ptCount val="3"/>
                <c:pt idx="0">
                  <c:v>Printer</c:v>
                </c:pt>
                <c:pt idx="1">
                  <c:v>Mouse</c:v>
                </c:pt>
                <c:pt idx="2">
                  <c:v>Monitor</c:v>
                </c:pt>
              </c:strCache>
            </c:strRef>
          </c:cat>
          <c:val>
            <c:numRef>
              <c:f>Sheet3!$B$49:$B$52</c:f>
              <c:numCache>
                <c:formatCode>General</c:formatCode>
                <c:ptCount val="3"/>
                <c:pt idx="0">
                  <c:v>445</c:v>
                </c:pt>
                <c:pt idx="1">
                  <c:v>319</c:v>
                </c:pt>
                <c:pt idx="2">
                  <c:v>251</c:v>
                </c:pt>
              </c:numCache>
            </c:numRef>
          </c:val>
          <c:extLst>
            <c:ext xmlns:c16="http://schemas.microsoft.com/office/drawing/2014/chart" uri="{C3380CC4-5D6E-409C-BE32-E72D297353CC}">
              <c16:uniqueId val="{00000000-520B-425B-B932-822374377998}"/>
            </c:ext>
          </c:extLst>
        </c:ser>
        <c:dLbls>
          <c:dLblPos val="outEnd"/>
          <c:showLegendKey val="0"/>
          <c:showVal val="1"/>
          <c:showCatName val="0"/>
          <c:showSerName val="0"/>
          <c:showPercent val="0"/>
          <c:showBubbleSize val="0"/>
        </c:dLbls>
        <c:gapWidth val="219"/>
        <c:axId val="1266745519"/>
        <c:axId val="1266731599"/>
      </c:barChart>
      <c:catAx>
        <c:axId val="126674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66731599"/>
        <c:crosses val="autoZero"/>
        <c:auto val="1"/>
        <c:lblAlgn val="ctr"/>
        <c:lblOffset val="100"/>
        <c:noMultiLvlLbl val="0"/>
      </c:catAx>
      <c:valAx>
        <c:axId val="1266731599"/>
        <c:scaling>
          <c:orientation val="minMax"/>
        </c:scaling>
        <c:delete val="1"/>
        <c:axPos val="b"/>
        <c:numFmt formatCode="General" sourceLinked="1"/>
        <c:majorTickMark val="none"/>
        <c:minorTickMark val="none"/>
        <c:tickLblPos val="nextTo"/>
        <c:crossAx val="1266745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1).xlsx]Sheet3!PivotTable7</c:name>
    <c:fmtId val="50"/>
  </c:pivotSource>
  <c:chart>
    <c:autoTitleDeleted val="1"/>
    <c:pivotFmts>
      <c:pivotFmt>
        <c:idx val="0"/>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07407407407407E-2"/>
          <c:w val="0.93888888888888888"/>
          <c:h val="0.83349518810148726"/>
        </c:manualLayout>
      </c:layout>
      <c:barChart>
        <c:barDir val="col"/>
        <c:grouping val="clustered"/>
        <c:varyColors val="0"/>
        <c:ser>
          <c:idx val="0"/>
          <c:order val="0"/>
          <c:tx>
            <c:strRef>
              <c:f>Sheet3!$B$83</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Sheet3!$A$84:$A$90</c:f>
              <c:strCache>
                <c:ptCount val="6"/>
                <c:pt idx="0">
                  <c:v>Printer</c:v>
                </c:pt>
                <c:pt idx="1">
                  <c:v>Monitor</c:v>
                </c:pt>
                <c:pt idx="2">
                  <c:v>Scanner</c:v>
                </c:pt>
                <c:pt idx="3">
                  <c:v>Mouse</c:v>
                </c:pt>
                <c:pt idx="4">
                  <c:v>Speaker</c:v>
                </c:pt>
                <c:pt idx="5">
                  <c:v>Keyboard</c:v>
                </c:pt>
              </c:strCache>
            </c:strRef>
          </c:cat>
          <c:val>
            <c:numRef>
              <c:f>Sheet3!$B$84:$B$90</c:f>
              <c:numCache>
                <c:formatCode>0.00</c:formatCode>
                <c:ptCount val="6"/>
                <c:pt idx="0">
                  <c:v>6.095890410958904</c:v>
                </c:pt>
                <c:pt idx="1">
                  <c:v>5.5777777777777775</c:v>
                </c:pt>
                <c:pt idx="2">
                  <c:v>4.5660377358490569</c:v>
                </c:pt>
                <c:pt idx="3">
                  <c:v>3.9874999999999998</c:v>
                </c:pt>
                <c:pt idx="4">
                  <c:v>3.5737704918032787</c:v>
                </c:pt>
                <c:pt idx="5">
                  <c:v>2.4444444444444446</c:v>
                </c:pt>
              </c:numCache>
            </c:numRef>
          </c:val>
          <c:extLst>
            <c:ext xmlns:c16="http://schemas.microsoft.com/office/drawing/2014/chart" uri="{C3380CC4-5D6E-409C-BE32-E72D297353CC}">
              <c16:uniqueId val="{00000000-FD3A-40B3-A8D7-7860E56A4247}"/>
            </c:ext>
          </c:extLst>
        </c:ser>
        <c:dLbls>
          <c:dLblPos val="outEnd"/>
          <c:showLegendKey val="0"/>
          <c:showVal val="1"/>
          <c:showCatName val="0"/>
          <c:showSerName val="0"/>
          <c:showPercent val="0"/>
          <c:showBubbleSize val="0"/>
        </c:dLbls>
        <c:gapWidth val="219"/>
        <c:overlap val="-27"/>
        <c:axId val="867015807"/>
        <c:axId val="866990367"/>
      </c:barChart>
      <c:catAx>
        <c:axId val="86701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6990367"/>
        <c:crosses val="autoZero"/>
        <c:auto val="1"/>
        <c:lblAlgn val="ctr"/>
        <c:lblOffset val="100"/>
        <c:noMultiLvlLbl val="0"/>
      </c:catAx>
      <c:valAx>
        <c:axId val="866990367"/>
        <c:scaling>
          <c:orientation val="minMax"/>
        </c:scaling>
        <c:delete val="1"/>
        <c:axPos val="l"/>
        <c:numFmt formatCode="0.00" sourceLinked="1"/>
        <c:majorTickMark val="none"/>
        <c:minorTickMark val="none"/>
        <c:tickLblPos val="nextTo"/>
        <c:crossAx val="8670158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1).xlsx]Sheet3!PivotTable11</c:name>
    <c:fmtId val="57"/>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Sheet3!$B$66</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Sheet3!$A$67:$A$70</c:f>
              <c:strCache>
                <c:ptCount val="3"/>
                <c:pt idx="0">
                  <c:v>Rohit Das</c:v>
                </c:pt>
                <c:pt idx="1">
                  <c:v>Ajit Kumar</c:v>
                </c:pt>
                <c:pt idx="2">
                  <c:v>Siddhu</c:v>
                </c:pt>
              </c:strCache>
            </c:strRef>
          </c:cat>
          <c:val>
            <c:numRef>
              <c:f>Sheet3!$B$67:$B$70</c:f>
              <c:numCache>
                <c:formatCode>General</c:formatCode>
                <c:ptCount val="3"/>
                <c:pt idx="0">
                  <c:v>360</c:v>
                </c:pt>
                <c:pt idx="1">
                  <c:v>394</c:v>
                </c:pt>
                <c:pt idx="2">
                  <c:v>419</c:v>
                </c:pt>
              </c:numCache>
            </c:numRef>
          </c:val>
          <c:extLst>
            <c:ext xmlns:c16="http://schemas.microsoft.com/office/drawing/2014/chart" uri="{C3380CC4-5D6E-409C-BE32-E72D297353CC}">
              <c16:uniqueId val="{00000000-BC90-42BC-B404-2B562BADCEEA}"/>
            </c:ext>
          </c:extLst>
        </c:ser>
        <c:dLbls>
          <c:dLblPos val="outEnd"/>
          <c:showLegendKey val="0"/>
          <c:showVal val="1"/>
          <c:showCatName val="0"/>
          <c:showSerName val="0"/>
          <c:showPercent val="0"/>
          <c:showBubbleSize val="0"/>
        </c:dLbls>
        <c:gapWidth val="182"/>
        <c:axId val="1475897535"/>
        <c:axId val="1475884095"/>
      </c:barChart>
      <c:catAx>
        <c:axId val="14758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475884095"/>
        <c:crosses val="autoZero"/>
        <c:auto val="1"/>
        <c:lblAlgn val="ctr"/>
        <c:lblOffset val="100"/>
        <c:noMultiLvlLbl val="0"/>
      </c:catAx>
      <c:valAx>
        <c:axId val="1475884095"/>
        <c:scaling>
          <c:orientation val="minMax"/>
        </c:scaling>
        <c:delete val="1"/>
        <c:axPos val="b"/>
        <c:numFmt formatCode="General" sourceLinked="1"/>
        <c:majorTickMark val="none"/>
        <c:minorTickMark val="none"/>
        <c:tickLblPos val="nextTo"/>
        <c:crossAx val="14758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1).xlsx]Sheet3!PivotTable12</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Sheet3!$B$76</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Sheet3!$A$77:$A$80</c:f>
              <c:strCache>
                <c:ptCount val="3"/>
                <c:pt idx="0">
                  <c:v>Amit</c:v>
                </c:pt>
                <c:pt idx="1">
                  <c:v>Ramesh</c:v>
                </c:pt>
                <c:pt idx="2">
                  <c:v>Chandu</c:v>
                </c:pt>
              </c:strCache>
            </c:strRef>
          </c:cat>
          <c:val>
            <c:numRef>
              <c:f>Sheet3!$B$77:$B$80</c:f>
              <c:numCache>
                <c:formatCode>General</c:formatCode>
                <c:ptCount val="3"/>
                <c:pt idx="0">
                  <c:v>146</c:v>
                </c:pt>
                <c:pt idx="1">
                  <c:v>144</c:v>
                </c:pt>
                <c:pt idx="2">
                  <c:v>144</c:v>
                </c:pt>
              </c:numCache>
            </c:numRef>
          </c:val>
          <c:extLst>
            <c:ext xmlns:c16="http://schemas.microsoft.com/office/drawing/2014/chart" uri="{C3380CC4-5D6E-409C-BE32-E72D297353CC}">
              <c16:uniqueId val="{00000000-685A-465C-8DBC-AA388340D6F2}"/>
            </c:ext>
          </c:extLst>
        </c:ser>
        <c:dLbls>
          <c:dLblPos val="outEnd"/>
          <c:showLegendKey val="0"/>
          <c:showVal val="1"/>
          <c:showCatName val="0"/>
          <c:showSerName val="0"/>
          <c:showPercent val="0"/>
          <c:showBubbleSize val="0"/>
        </c:dLbls>
        <c:gapWidth val="182"/>
        <c:axId val="97054399"/>
        <c:axId val="97049119"/>
      </c:barChart>
      <c:catAx>
        <c:axId val="97054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97049119"/>
        <c:crosses val="autoZero"/>
        <c:auto val="1"/>
        <c:lblAlgn val="ctr"/>
        <c:lblOffset val="100"/>
        <c:noMultiLvlLbl val="0"/>
      </c:catAx>
      <c:valAx>
        <c:axId val="97049119"/>
        <c:scaling>
          <c:orientation val="minMax"/>
        </c:scaling>
        <c:delete val="1"/>
        <c:axPos val="b"/>
        <c:numFmt formatCode="General" sourceLinked="1"/>
        <c:majorTickMark val="out"/>
        <c:minorTickMark val="none"/>
        <c:tickLblPos val="nextTo"/>
        <c:crossAx val="9705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for sales (version 1).xlsx]Sheet3!PivotTable6</c:name>
    <c:fmtId val="69"/>
  </c:pivotSource>
  <c:chart>
    <c:autoTitleDeleted val="1"/>
    <c:pivotFmts>
      <c:pivotFmt>
        <c:idx val="0"/>
        <c:spPr>
          <a:solidFill>
            <a:schemeClr val="accent1"/>
          </a:solidFill>
          <a:ln>
            <a:noFill/>
          </a:ln>
          <a:effectLst/>
        </c:spPr>
        <c:marker>
          <c:symbol val="none"/>
        </c:marker>
        <c:dLbl>
          <c:idx val="0"/>
          <c:numFmt formatCode="\₹#,##0.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5135608048994E-4"/>
          <c:y val="7.407407407407407E-2"/>
          <c:w val="0.93888888888888888"/>
          <c:h val="0.8291980169145523"/>
        </c:manualLayout>
      </c:layout>
      <c:barChart>
        <c:barDir val="col"/>
        <c:grouping val="clustered"/>
        <c:varyColors val="0"/>
        <c:ser>
          <c:idx val="0"/>
          <c:order val="0"/>
          <c:tx>
            <c:strRef>
              <c:f>Sheet3!$B$93</c:f>
              <c:strCache>
                <c:ptCount val="1"/>
                <c:pt idx="0">
                  <c:v>Total</c:v>
                </c:pt>
              </c:strCache>
            </c:strRef>
          </c:tx>
          <c:spPr>
            <a:solidFill>
              <a:schemeClr val="accent1"/>
            </a:solidFill>
            <a:ln>
              <a:noFill/>
            </a:ln>
            <a:effectLst/>
          </c:spPr>
          <c:invertIfNegative val="0"/>
          <c:dLbls>
            <c:numFmt formatCode="\₹#,##0.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Sheet3!$A$94:$A$100</c:f>
              <c:strCache>
                <c:ptCount val="6"/>
                <c:pt idx="0">
                  <c:v>Ajit Kumar</c:v>
                </c:pt>
                <c:pt idx="1">
                  <c:v>Amit</c:v>
                </c:pt>
                <c:pt idx="2">
                  <c:v>Chandu</c:v>
                </c:pt>
                <c:pt idx="3">
                  <c:v>Ramesh</c:v>
                </c:pt>
                <c:pt idx="4">
                  <c:v>Rohit Das</c:v>
                </c:pt>
                <c:pt idx="5">
                  <c:v>Siddhu</c:v>
                </c:pt>
              </c:strCache>
            </c:strRef>
          </c:cat>
          <c:val>
            <c:numRef>
              <c:f>Sheet3!$B$94:$B$100</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81F7-4072-96DF-B324C43E17CD}"/>
            </c:ext>
          </c:extLst>
        </c:ser>
        <c:dLbls>
          <c:dLblPos val="outEnd"/>
          <c:showLegendKey val="0"/>
          <c:showVal val="1"/>
          <c:showCatName val="0"/>
          <c:showSerName val="0"/>
          <c:showPercent val="0"/>
          <c:showBubbleSize val="0"/>
        </c:dLbls>
        <c:gapWidth val="219"/>
        <c:overlap val="-27"/>
        <c:axId val="851849808"/>
        <c:axId val="851855568"/>
      </c:barChart>
      <c:catAx>
        <c:axId val="8518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51855568"/>
        <c:crosses val="autoZero"/>
        <c:auto val="1"/>
        <c:lblAlgn val="ctr"/>
        <c:lblOffset val="100"/>
        <c:noMultiLvlLbl val="0"/>
      </c:catAx>
      <c:valAx>
        <c:axId val="851855568"/>
        <c:scaling>
          <c:orientation val="minMax"/>
        </c:scaling>
        <c:delete val="1"/>
        <c:axPos val="l"/>
        <c:numFmt formatCode="General" sourceLinked="1"/>
        <c:majorTickMark val="none"/>
        <c:minorTickMark val="none"/>
        <c:tickLblPos val="nextTo"/>
        <c:crossAx val="85184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AP!A1"/><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hyperlink" Target="#PD!A1"/><Relationship Id="rId12"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hyperlink" Target="#SP!A1"/></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B!A1"/><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hyperlink" Target="#AP!A1"/><Relationship Id="rId4" Type="http://schemas.openxmlformats.org/officeDocument/2006/relationships/hyperlink" Target="#SP!A1"/><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hyperlink" Target="#DB!A1"/><Relationship Id="rId7" Type="http://schemas.openxmlformats.org/officeDocument/2006/relationships/chart" Target="../charts/chart1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hyperlink" Target="#AP!A1"/><Relationship Id="rId4" Type="http://schemas.openxmlformats.org/officeDocument/2006/relationships/hyperlink" Target="#PD!A1"/><Relationship Id="rId9"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8" Type="http://schemas.openxmlformats.org/officeDocument/2006/relationships/hyperlink" Target="https://www.linkedin.com/in/ishandutta0301/" TargetMode="External"/><Relationship Id="rId13" Type="http://schemas.openxmlformats.org/officeDocument/2006/relationships/image" Target="../media/image10.png"/><Relationship Id="rId3" Type="http://schemas.openxmlformats.org/officeDocument/2006/relationships/hyperlink" Target="https://github.com/Dermisfit0301" TargetMode="External"/><Relationship Id="rId7" Type="http://schemas.openxmlformats.org/officeDocument/2006/relationships/image" Target="../media/image7.png"/><Relationship Id="rId12"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P!A1"/><Relationship Id="rId11" Type="http://schemas.openxmlformats.org/officeDocument/2006/relationships/hyperlink" Target="https://www.instagram.com/its_wasimhere/" TargetMode="External"/><Relationship Id="rId5" Type="http://schemas.openxmlformats.org/officeDocument/2006/relationships/hyperlink" Target="#PD!A1"/><Relationship Id="rId10" Type="http://schemas.openxmlformats.org/officeDocument/2006/relationships/hyperlink" Target="https://www.youtube.com/watch?v=dU0Ptpiu_Kw&amp;list=PLVevUWkXP6J1eoMIFt5k9LxnIC3H1-doq" TargetMode="External"/><Relationship Id="rId4" Type="http://schemas.openxmlformats.org/officeDocument/2006/relationships/hyperlink" Target="#DB!A1"/><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10</xdr:col>
      <xdr:colOff>28574</xdr:colOff>
      <xdr:row>14</xdr:row>
      <xdr:rowOff>152400</xdr:rowOff>
    </xdr:from>
    <xdr:ext cx="6581775" cy="1371600"/>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D7075C03-42DF-4BB5-5382-65BED483D19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905624" y="2819400"/>
              <a:ext cx="65817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11</xdr:col>
      <xdr:colOff>171450</xdr:colOff>
      <xdr:row>11</xdr:row>
      <xdr:rowOff>95249</xdr:rowOff>
    </xdr:from>
    <xdr:ext cx="1828800" cy="1609725"/>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4A0C55E-9761-FD6C-140B-060FD7AA05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58100" y="2190749"/>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9</xdr:col>
      <xdr:colOff>438150</xdr:colOff>
      <xdr:row>1</xdr:row>
      <xdr:rowOff>4762</xdr:rowOff>
    </xdr:from>
    <xdr:to>
      <xdr:col>17</xdr:col>
      <xdr:colOff>133350</xdr:colOff>
      <xdr:row>15</xdr:row>
      <xdr:rowOff>80962</xdr:rowOff>
    </xdr:to>
    <xdr:graphicFrame macro="">
      <xdr:nvGraphicFramePr>
        <xdr:cNvPr id="5" name="Chart 4">
          <a:extLst>
            <a:ext uri="{FF2B5EF4-FFF2-40B4-BE49-F238E27FC236}">
              <a16:creationId xmlns:a16="http://schemas.microsoft.com/office/drawing/2014/main" id="{F9A55224-EF73-60F2-A8C0-B0D6DF21D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547687</xdr:colOff>
      <xdr:row>14</xdr:row>
      <xdr:rowOff>176212</xdr:rowOff>
    </xdr:from>
    <xdr:to>
      <xdr:col>11</xdr:col>
      <xdr:colOff>242887</xdr:colOff>
      <xdr:row>29</xdr:row>
      <xdr:rowOff>61912</xdr:rowOff>
    </xdr:to>
    <xdr:graphicFrame macro="">
      <xdr:nvGraphicFramePr>
        <xdr:cNvPr id="6" name="Chart 5">
          <a:extLst>
            <a:ext uri="{FF2B5EF4-FFF2-40B4-BE49-F238E27FC236}">
              <a16:creationId xmlns:a16="http://schemas.microsoft.com/office/drawing/2014/main" id="{B0907320-3C3D-2194-982C-6BA845929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xdr:colOff>
      <xdr:row>22</xdr:row>
      <xdr:rowOff>138112</xdr:rowOff>
    </xdr:from>
    <xdr:to>
      <xdr:col>14</xdr:col>
      <xdr:colOff>333375</xdr:colOff>
      <xdr:row>37</xdr:row>
      <xdr:rowOff>23812</xdr:rowOff>
    </xdr:to>
    <xdr:graphicFrame macro="">
      <xdr:nvGraphicFramePr>
        <xdr:cNvPr id="7" name="Chart 6">
          <a:extLst>
            <a:ext uri="{FF2B5EF4-FFF2-40B4-BE49-F238E27FC236}">
              <a16:creationId xmlns:a16="http://schemas.microsoft.com/office/drawing/2014/main" id="{E35375EB-1835-874B-2B10-A3EEA4709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600075</xdr:colOff>
      <xdr:row>37</xdr:row>
      <xdr:rowOff>138112</xdr:rowOff>
    </xdr:from>
    <xdr:to>
      <xdr:col>14</xdr:col>
      <xdr:colOff>295275</xdr:colOff>
      <xdr:row>54</xdr:row>
      <xdr:rowOff>23812</xdr:rowOff>
    </xdr:to>
    <xdr:graphicFrame macro="">
      <xdr:nvGraphicFramePr>
        <xdr:cNvPr id="12" name="Chart 11">
          <a:extLst>
            <a:ext uri="{FF2B5EF4-FFF2-40B4-BE49-F238E27FC236}">
              <a16:creationId xmlns:a16="http://schemas.microsoft.com/office/drawing/2014/main" id="{CDB6CF6C-8D55-FD54-E0F4-7CF36E0E8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523875</xdr:colOff>
      <xdr:row>53</xdr:row>
      <xdr:rowOff>80962</xdr:rowOff>
    </xdr:from>
    <xdr:to>
      <xdr:col>14</xdr:col>
      <xdr:colOff>219075</xdr:colOff>
      <xdr:row>67</xdr:row>
      <xdr:rowOff>157162</xdr:rowOff>
    </xdr:to>
    <xdr:graphicFrame macro="">
      <xdr:nvGraphicFramePr>
        <xdr:cNvPr id="13" name="Chart 12">
          <a:extLst>
            <a:ext uri="{FF2B5EF4-FFF2-40B4-BE49-F238E27FC236}">
              <a16:creationId xmlns:a16="http://schemas.microsoft.com/office/drawing/2014/main" id="{B491DFC0-363D-A265-941C-57C837863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404812</xdr:colOff>
      <xdr:row>57</xdr:row>
      <xdr:rowOff>33337</xdr:rowOff>
    </xdr:from>
    <xdr:to>
      <xdr:col>26</xdr:col>
      <xdr:colOff>100012</xdr:colOff>
      <xdr:row>75</xdr:row>
      <xdr:rowOff>109537</xdr:rowOff>
    </xdr:to>
    <xdr:graphicFrame macro="">
      <xdr:nvGraphicFramePr>
        <xdr:cNvPr id="14" name="Chart 13">
          <a:extLst>
            <a:ext uri="{FF2B5EF4-FFF2-40B4-BE49-F238E27FC236}">
              <a16:creationId xmlns:a16="http://schemas.microsoft.com/office/drawing/2014/main" id="{FB44E140-9BC6-EBD6-4A34-37EE7618C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95250</xdr:colOff>
      <xdr:row>76</xdr:row>
      <xdr:rowOff>152400</xdr:rowOff>
    </xdr:from>
    <xdr:to>
      <xdr:col>25</xdr:col>
      <xdr:colOff>400050</xdr:colOff>
      <xdr:row>91</xdr:row>
      <xdr:rowOff>38100</xdr:rowOff>
    </xdr:to>
    <xdr:graphicFrame macro="">
      <xdr:nvGraphicFramePr>
        <xdr:cNvPr id="4" name="Chart 3">
          <a:extLst>
            <a:ext uri="{FF2B5EF4-FFF2-40B4-BE49-F238E27FC236}">
              <a16:creationId xmlns:a16="http://schemas.microsoft.com/office/drawing/2014/main" id="{BB4EF357-3BC5-AB48-1A51-015885BB6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17</xdr:col>
      <xdr:colOff>352425</xdr:colOff>
      <xdr:row>62</xdr:row>
      <xdr:rowOff>9525</xdr:rowOff>
    </xdr:from>
    <xdr:ext cx="1828800" cy="2667000"/>
    <mc:AlternateContent xmlns:mc="http://schemas.openxmlformats.org/markup-compatibility/2006" xmlns:a14="http://schemas.microsoft.com/office/drawing/2010/main">
      <mc:Choice Requires="a14">
        <xdr:graphicFrame macro="">
          <xdr:nvGraphicFramePr>
            <xdr:cNvPr id="8" name="Salesman">
              <a:extLst>
                <a:ext uri="{FF2B5EF4-FFF2-40B4-BE49-F238E27FC236}">
                  <a16:creationId xmlns:a16="http://schemas.microsoft.com/office/drawing/2014/main" id="{66BC62A6-C08D-895A-6B0E-F1CCE8B11FC3}"/>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11496675" y="1143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533400</xdr:colOff>
      <xdr:row>69</xdr:row>
      <xdr:rowOff>119062</xdr:rowOff>
    </xdr:from>
    <xdr:to>
      <xdr:col>12</xdr:col>
      <xdr:colOff>228600</xdr:colOff>
      <xdr:row>84</xdr:row>
      <xdr:rowOff>4762</xdr:rowOff>
    </xdr:to>
    <xdr:graphicFrame macro="">
      <xdr:nvGraphicFramePr>
        <xdr:cNvPr id="9" name="Chart 8">
          <a:extLst>
            <a:ext uri="{FF2B5EF4-FFF2-40B4-BE49-F238E27FC236}">
              <a16:creationId xmlns:a16="http://schemas.microsoft.com/office/drawing/2014/main" id="{E87A33E4-80B8-5586-226F-0F9E301CC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104775</xdr:colOff>
      <xdr:row>87</xdr:row>
      <xdr:rowOff>166687</xdr:rowOff>
    </xdr:from>
    <xdr:to>
      <xdr:col>13</xdr:col>
      <xdr:colOff>409575</xdr:colOff>
      <xdr:row>102</xdr:row>
      <xdr:rowOff>52387</xdr:rowOff>
    </xdr:to>
    <xdr:graphicFrame macro="">
      <xdr:nvGraphicFramePr>
        <xdr:cNvPr id="11" name="Chart 10">
          <a:extLst>
            <a:ext uri="{FF2B5EF4-FFF2-40B4-BE49-F238E27FC236}">
              <a16:creationId xmlns:a16="http://schemas.microsoft.com/office/drawing/2014/main" id="{6CBC377D-DBCE-440E-24B7-0FBEF11AC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85725</xdr:colOff>
      <xdr:row>79</xdr:row>
      <xdr:rowOff>57150</xdr:rowOff>
    </xdr:from>
    <xdr:to>
      <xdr:col>19</xdr:col>
      <xdr:colOff>85725</xdr:colOff>
      <xdr:row>93</xdr:row>
      <xdr:rowOff>57150</xdr:rowOff>
    </xdr:to>
    <mc:AlternateContent xmlns:mc="http://schemas.openxmlformats.org/markup-compatibility/2006" xmlns:a14="http://schemas.microsoft.com/office/drawing/2010/main">
      <mc:Choice Requires="a14">
        <xdr:graphicFrame macro="">
          <xdr:nvGraphicFramePr>
            <xdr:cNvPr id="15" name="Region 4">
              <a:extLst>
                <a:ext uri="{FF2B5EF4-FFF2-40B4-BE49-F238E27FC236}">
                  <a16:creationId xmlns:a16="http://schemas.microsoft.com/office/drawing/2014/main" id="{6B80D875-C567-646E-ABBA-43B9CC6C90E3}"/>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0353675" y="15106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85</xdr:row>
      <xdr:rowOff>152399</xdr:rowOff>
    </xdr:from>
    <xdr:to>
      <xdr:col>23</xdr:col>
      <xdr:colOff>457200</xdr:colOff>
      <xdr:row>97</xdr:row>
      <xdr:rowOff>85724</xdr:rowOff>
    </xdr:to>
    <mc:AlternateContent xmlns:mc="http://schemas.openxmlformats.org/markup-compatibility/2006">
      <mc:Choice xmlns:tsle="http://schemas.microsoft.com/office/drawing/2012/timeslicer" Requires="tsle">
        <xdr:graphicFrame macro="">
          <xdr:nvGraphicFramePr>
            <xdr:cNvPr id="22" name="Date 3">
              <a:extLst>
                <a:ext uri="{FF2B5EF4-FFF2-40B4-BE49-F238E27FC236}">
                  <a16:creationId xmlns:a16="http://schemas.microsoft.com/office/drawing/2014/main" id="{781F9BAC-5A75-466C-BBAE-60EDAD9B5B19}"/>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7896225" y="16344899"/>
              <a:ext cx="7562850" cy="22193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9526</xdr:rowOff>
    </xdr:from>
    <xdr:to>
      <xdr:col>20</xdr:col>
      <xdr:colOff>238125</xdr:colOff>
      <xdr:row>35</xdr:row>
      <xdr:rowOff>161926</xdr:rowOff>
    </xdr:to>
    <xdr:sp macro="" textlink="">
      <xdr:nvSpPr>
        <xdr:cNvPr id="7" name="Rectangle 6">
          <a:extLst>
            <a:ext uri="{FF2B5EF4-FFF2-40B4-BE49-F238E27FC236}">
              <a16:creationId xmlns:a16="http://schemas.microsoft.com/office/drawing/2014/main" id="{6FB67A75-98BF-5751-5A33-9F8F24F767BA}"/>
            </a:ext>
          </a:extLst>
        </xdr:cNvPr>
        <xdr:cNvSpPr/>
      </xdr:nvSpPr>
      <xdr:spPr>
        <a:xfrm>
          <a:off x="0" y="9526"/>
          <a:ext cx="12430125" cy="681990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0</xdr:row>
      <xdr:rowOff>47624</xdr:rowOff>
    </xdr:from>
    <xdr:to>
      <xdr:col>20</xdr:col>
      <xdr:colOff>152400</xdr:colOff>
      <xdr:row>35</xdr:row>
      <xdr:rowOff>38099</xdr:rowOff>
    </xdr:to>
    <xdr:sp macro="" textlink="">
      <xdr:nvSpPr>
        <xdr:cNvPr id="8" name="Rectangle 7">
          <a:extLst>
            <a:ext uri="{FF2B5EF4-FFF2-40B4-BE49-F238E27FC236}">
              <a16:creationId xmlns:a16="http://schemas.microsoft.com/office/drawing/2014/main" id="{DBDE6CE5-C7E7-EB9C-B51B-6EBE37CD31ED}"/>
            </a:ext>
          </a:extLst>
        </xdr:cNvPr>
        <xdr:cNvSpPr/>
      </xdr:nvSpPr>
      <xdr:spPr>
        <a:xfrm>
          <a:off x="1905000" y="47624"/>
          <a:ext cx="10439400" cy="66579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200024</xdr:colOff>
      <xdr:row>0</xdr:row>
      <xdr:rowOff>142875</xdr:rowOff>
    </xdr:from>
    <xdr:to>
      <xdr:col>16</xdr:col>
      <xdr:colOff>142875</xdr:colOff>
      <xdr:row>6</xdr:row>
      <xdr:rowOff>171451</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B773B361-3745-4FEC-A6D5-9EF48F98BF4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24" y="142875"/>
              <a:ext cx="7867651" cy="11715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238124</xdr:colOff>
      <xdr:row>0</xdr:row>
      <xdr:rowOff>161925</xdr:rowOff>
    </xdr:from>
    <xdr:to>
      <xdr:col>20</xdr:col>
      <xdr:colOff>95249</xdr:colOff>
      <xdr:row>7</xdr:row>
      <xdr:rowOff>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A7530C9-53F3-4FD9-82EF-F90A427A07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91724" y="161925"/>
              <a:ext cx="2295525"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200025</xdr:colOff>
      <xdr:row>7</xdr:row>
      <xdr:rowOff>66676</xdr:rowOff>
    </xdr:from>
    <xdr:to>
      <xdr:col>20</xdr:col>
      <xdr:colOff>104774</xdr:colOff>
      <xdr:row>10</xdr:row>
      <xdr:rowOff>180976</xdr:rowOff>
    </xdr:to>
    <mc:AlternateContent xmlns:mc="http://schemas.openxmlformats.org/markup-compatibility/2006" xmlns:a14="http://schemas.microsoft.com/office/drawing/2010/main">
      <mc:Choice Requires="a14">
        <xdr:graphicFrame macro="">
          <xdr:nvGraphicFramePr>
            <xdr:cNvPr id="9" name="Item">
              <a:extLst>
                <a:ext uri="{FF2B5EF4-FFF2-40B4-BE49-F238E27FC236}">
                  <a16:creationId xmlns:a16="http://schemas.microsoft.com/office/drawing/2014/main" id="{EF53786D-7E1C-4052-B396-890994C11E0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028825" y="1400176"/>
              <a:ext cx="10267949"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11</xdr:row>
      <xdr:rowOff>38100</xdr:rowOff>
    </xdr:from>
    <xdr:to>
      <xdr:col>4</xdr:col>
      <xdr:colOff>381000</xdr:colOff>
      <xdr:row>14</xdr:row>
      <xdr:rowOff>152400</xdr:rowOff>
    </xdr:to>
    <xdr:pic>
      <xdr:nvPicPr>
        <xdr:cNvPr id="11" name="Graphic 10" descr="Bar chart with solid fill">
          <a:extLst>
            <a:ext uri="{FF2B5EF4-FFF2-40B4-BE49-F238E27FC236}">
              <a16:creationId xmlns:a16="http://schemas.microsoft.com/office/drawing/2014/main" id="{08395354-224C-58C2-2D5E-B20DEE560A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3600" y="2133600"/>
          <a:ext cx="685800" cy="685800"/>
        </a:xfrm>
        <a:prstGeom prst="rect">
          <a:avLst/>
        </a:prstGeom>
      </xdr:spPr>
    </xdr:pic>
    <xdr:clientData/>
  </xdr:twoCellAnchor>
  <xdr:twoCellAnchor>
    <xdr:from>
      <xdr:col>3</xdr:col>
      <xdr:colOff>266700</xdr:colOff>
      <xdr:row>19</xdr:row>
      <xdr:rowOff>47626</xdr:rowOff>
    </xdr:from>
    <xdr:to>
      <xdr:col>11</xdr:col>
      <xdr:colOff>247650</xdr:colOff>
      <xdr:row>34</xdr:row>
      <xdr:rowOff>180976</xdr:rowOff>
    </xdr:to>
    <xdr:sp macro="" textlink="">
      <xdr:nvSpPr>
        <xdr:cNvPr id="12" name="Rectangle 11">
          <a:extLst>
            <a:ext uri="{FF2B5EF4-FFF2-40B4-BE49-F238E27FC236}">
              <a16:creationId xmlns:a16="http://schemas.microsoft.com/office/drawing/2014/main" id="{19BF8032-9411-ED5A-0BAC-655D36C75E5B}"/>
            </a:ext>
          </a:extLst>
        </xdr:cNvPr>
        <xdr:cNvSpPr/>
      </xdr:nvSpPr>
      <xdr:spPr>
        <a:xfrm>
          <a:off x="2095500" y="3667126"/>
          <a:ext cx="4857750" cy="299085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390525</xdr:colOff>
      <xdr:row>25</xdr:row>
      <xdr:rowOff>0</xdr:rowOff>
    </xdr:from>
    <xdr:to>
      <xdr:col>20</xdr:col>
      <xdr:colOff>57150</xdr:colOff>
      <xdr:row>35</xdr:row>
      <xdr:rowOff>9525</xdr:rowOff>
    </xdr:to>
    <xdr:sp macro="" textlink="">
      <xdr:nvSpPr>
        <xdr:cNvPr id="13" name="Rectangle 12">
          <a:extLst>
            <a:ext uri="{FF2B5EF4-FFF2-40B4-BE49-F238E27FC236}">
              <a16:creationId xmlns:a16="http://schemas.microsoft.com/office/drawing/2014/main" id="{6312E792-A9C8-4DDC-AC04-04CB642224F6}"/>
            </a:ext>
          </a:extLst>
        </xdr:cNvPr>
        <xdr:cNvSpPr/>
      </xdr:nvSpPr>
      <xdr:spPr>
        <a:xfrm>
          <a:off x="7096125" y="4762500"/>
          <a:ext cx="5153025" cy="191452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381000</xdr:colOff>
      <xdr:row>14</xdr:row>
      <xdr:rowOff>104775</xdr:rowOff>
    </xdr:from>
    <xdr:to>
      <xdr:col>20</xdr:col>
      <xdr:colOff>47625</xdr:colOff>
      <xdr:row>24</xdr:row>
      <xdr:rowOff>66675</xdr:rowOff>
    </xdr:to>
    <xdr:sp macro="" textlink="">
      <xdr:nvSpPr>
        <xdr:cNvPr id="14" name="Rectangle 13">
          <a:extLst>
            <a:ext uri="{FF2B5EF4-FFF2-40B4-BE49-F238E27FC236}">
              <a16:creationId xmlns:a16="http://schemas.microsoft.com/office/drawing/2014/main" id="{3E4F0DE2-819E-438D-B907-9EE8CC8FF00A}"/>
            </a:ext>
          </a:extLst>
        </xdr:cNvPr>
        <xdr:cNvSpPr/>
      </xdr:nvSpPr>
      <xdr:spPr>
        <a:xfrm>
          <a:off x="7086600" y="2771775"/>
          <a:ext cx="5153025" cy="186690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276225</xdr:colOff>
      <xdr:row>14</xdr:row>
      <xdr:rowOff>152400</xdr:rowOff>
    </xdr:from>
    <xdr:to>
      <xdr:col>7</xdr:col>
      <xdr:colOff>200025</xdr:colOff>
      <xdr:row>18</xdr:row>
      <xdr:rowOff>133350</xdr:rowOff>
    </xdr:to>
    <xdr:sp macro="" textlink="">
      <xdr:nvSpPr>
        <xdr:cNvPr id="15" name="Rectangle: Rounded Corners 14">
          <a:extLst>
            <a:ext uri="{FF2B5EF4-FFF2-40B4-BE49-F238E27FC236}">
              <a16:creationId xmlns:a16="http://schemas.microsoft.com/office/drawing/2014/main" id="{240C2E54-51DB-9F36-BA58-8DDA63F02C52}"/>
            </a:ext>
          </a:extLst>
        </xdr:cNvPr>
        <xdr:cNvSpPr/>
      </xdr:nvSpPr>
      <xdr:spPr>
        <a:xfrm>
          <a:off x="2105025" y="2819400"/>
          <a:ext cx="2362200" cy="742950"/>
        </a:xfrm>
        <a:prstGeom prst="roundRect">
          <a:avLst/>
        </a:prstGeom>
        <a:solidFill>
          <a:srgbClr val="00B050"/>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342901</xdr:colOff>
      <xdr:row>14</xdr:row>
      <xdr:rowOff>152399</xdr:rowOff>
    </xdr:from>
    <xdr:to>
      <xdr:col>11</xdr:col>
      <xdr:colOff>228601</xdr:colOff>
      <xdr:row>18</xdr:row>
      <xdr:rowOff>142874</xdr:rowOff>
    </xdr:to>
    <xdr:sp macro="" textlink="">
      <xdr:nvSpPr>
        <xdr:cNvPr id="16" name="Rectangle: Rounded Corners 15">
          <a:extLst>
            <a:ext uri="{FF2B5EF4-FFF2-40B4-BE49-F238E27FC236}">
              <a16:creationId xmlns:a16="http://schemas.microsoft.com/office/drawing/2014/main" id="{67D45F44-BC22-4CC9-9186-70CA598BD12E}"/>
            </a:ext>
          </a:extLst>
        </xdr:cNvPr>
        <xdr:cNvSpPr/>
      </xdr:nvSpPr>
      <xdr:spPr>
        <a:xfrm>
          <a:off x="4610101" y="2819399"/>
          <a:ext cx="2324100" cy="752475"/>
        </a:xfrm>
        <a:prstGeom prst="roundRect">
          <a:avLst/>
        </a:prstGeom>
        <a:solidFill>
          <a:srgbClr val="FFC000"/>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476250</xdr:colOff>
      <xdr:row>14</xdr:row>
      <xdr:rowOff>161925</xdr:rowOff>
    </xdr:from>
    <xdr:to>
      <xdr:col>7</xdr:col>
      <xdr:colOff>200025</xdr:colOff>
      <xdr:row>18</xdr:row>
      <xdr:rowOff>142875</xdr:rowOff>
    </xdr:to>
    <xdr:sp macro="" textlink="">
      <xdr:nvSpPr>
        <xdr:cNvPr id="17" name="Rectangle: Rounded Corners 16">
          <a:extLst>
            <a:ext uri="{FF2B5EF4-FFF2-40B4-BE49-F238E27FC236}">
              <a16:creationId xmlns:a16="http://schemas.microsoft.com/office/drawing/2014/main" id="{767FAD00-5FB0-41BB-A24C-B68D0FEB73D9}"/>
            </a:ext>
          </a:extLst>
        </xdr:cNvPr>
        <xdr:cNvSpPr/>
      </xdr:nvSpPr>
      <xdr:spPr>
        <a:xfrm>
          <a:off x="2305050" y="2828925"/>
          <a:ext cx="2162175" cy="74295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514349</xdr:colOff>
      <xdr:row>15</xdr:row>
      <xdr:rowOff>76200</xdr:rowOff>
    </xdr:from>
    <xdr:to>
      <xdr:col>4</xdr:col>
      <xdr:colOff>447674</xdr:colOff>
      <xdr:row>18</xdr:row>
      <xdr:rowOff>47625</xdr:rowOff>
    </xdr:to>
    <xdr:pic>
      <xdr:nvPicPr>
        <xdr:cNvPr id="19" name="Graphic 18" descr="Rupee with solid fill">
          <a:extLst>
            <a:ext uri="{FF2B5EF4-FFF2-40B4-BE49-F238E27FC236}">
              <a16:creationId xmlns:a16="http://schemas.microsoft.com/office/drawing/2014/main" id="{F0DA7BA4-E2FD-6821-1A8F-512EFE1BF6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43149" y="2933700"/>
          <a:ext cx="542925" cy="542925"/>
        </a:xfrm>
        <a:prstGeom prst="rect">
          <a:avLst/>
        </a:prstGeom>
      </xdr:spPr>
    </xdr:pic>
    <xdr:clientData/>
  </xdr:twoCellAnchor>
  <xdr:twoCellAnchor>
    <xdr:from>
      <xdr:col>7</xdr:col>
      <xdr:colOff>571499</xdr:colOff>
      <xdr:row>14</xdr:row>
      <xdr:rowOff>142874</xdr:rowOff>
    </xdr:from>
    <xdr:to>
      <xdr:col>11</xdr:col>
      <xdr:colOff>238124</xdr:colOff>
      <xdr:row>18</xdr:row>
      <xdr:rowOff>133349</xdr:rowOff>
    </xdr:to>
    <xdr:sp macro="" textlink="">
      <xdr:nvSpPr>
        <xdr:cNvPr id="20" name="Rectangle: Rounded Corners 19">
          <a:extLst>
            <a:ext uri="{FF2B5EF4-FFF2-40B4-BE49-F238E27FC236}">
              <a16:creationId xmlns:a16="http://schemas.microsoft.com/office/drawing/2014/main" id="{717730D3-FC1B-4F60-8C7E-0269D07C15D0}"/>
            </a:ext>
          </a:extLst>
        </xdr:cNvPr>
        <xdr:cNvSpPr/>
      </xdr:nvSpPr>
      <xdr:spPr>
        <a:xfrm>
          <a:off x="4838699" y="2809874"/>
          <a:ext cx="2105025" cy="752475"/>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8</xdr:col>
      <xdr:colOff>28575</xdr:colOff>
      <xdr:row>14</xdr:row>
      <xdr:rowOff>171450</xdr:rowOff>
    </xdr:from>
    <xdr:to>
      <xdr:col>9</xdr:col>
      <xdr:colOff>57150</xdr:colOff>
      <xdr:row>18</xdr:row>
      <xdr:rowOff>95250</xdr:rowOff>
    </xdr:to>
    <xdr:pic>
      <xdr:nvPicPr>
        <xdr:cNvPr id="22" name="Graphic 21" descr="Business Growth with solid fill">
          <a:extLst>
            <a:ext uri="{FF2B5EF4-FFF2-40B4-BE49-F238E27FC236}">
              <a16:creationId xmlns:a16="http://schemas.microsoft.com/office/drawing/2014/main" id="{59FDCA7F-A0F5-0346-62BD-A19D140B1E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05375" y="2838450"/>
          <a:ext cx="638175" cy="685800"/>
        </a:xfrm>
        <a:prstGeom prst="rect">
          <a:avLst/>
        </a:prstGeom>
      </xdr:spPr>
    </xdr:pic>
    <xdr:clientData/>
  </xdr:twoCellAnchor>
  <xdr:twoCellAnchor>
    <xdr:from>
      <xdr:col>0</xdr:col>
      <xdr:colOff>38100</xdr:colOff>
      <xdr:row>7</xdr:row>
      <xdr:rowOff>38100</xdr:rowOff>
    </xdr:from>
    <xdr:to>
      <xdr:col>3</xdr:col>
      <xdr:colOff>9525</xdr:colOff>
      <xdr:row>10</xdr:row>
      <xdr:rowOff>85725</xdr:rowOff>
    </xdr:to>
    <xdr:sp macro="" textlink="">
      <xdr:nvSpPr>
        <xdr:cNvPr id="24" name="Flowchart: Terminator 23">
          <a:extLst>
            <a:ext uri="{FF2B5EF4-FFF2-40B4-BE49-F238E27FC236}">
              <a16:creationId xmlns:a16="http://schemas.microsoft.com/office/drawing/2014/main" id="{3D6B161C-CC5B-9317-363C-4FF2F389D200}"/>
            </a:ext>
          </a:extLst>
        </xdr:cNvPr>
        <xdr:cNvSpPr/>
      </xdr:nvSpPr>
      <xdr:spPr>
        <a:xfrm>
          <a:off x="38100" y="1371600"/>
          <a:ext cx="1800225" cy="619125"/>
        </a:xfrm>
        <a:prstGeom prst="flowChartTerminator">
          <a:avLst/>
        </a:prstGeom>
        <a:solidFill>
          <a:schemeClr val="bg1"/>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47625</xdr:colOff>
      <xdr:row>11</xdr:row>
      <xdr:rowOff>95250</xdr:rowOff>
    </xdr:from>
    <xdr:to>
      <xdr:col>3</xdr:col>
      <xdr:colOff>19050</xdr:colOff>
      <xdr:row>14</xdr:row>
      <xdr:rowOff>142875</xdr:rowOff>
    </xdr:to>
    <xdr:sp macro="" textlink="">
      <xdr:nvSpPr>
        <xdr:cNvPr id="25" name="Flowchart: Terminator 24">
          <a:hlinkClick xmlns:r="http://schemas.openxmlformats.org/officeDocument/2006/relationships" r:id="rId7"/>
          <a:extLst>
            <a:ext uri="{FF2B5EF4-FFF2-40B4-BE49-F238E27FC236}">
              <a16:creationId xmlns:a16="http://schemas.microsoft.com/office/drawing/2014/main" id="{E13234D3-AAF3-4DF5-85BE-D37E56895310}"/>
            </a:ext>
          </a:extLst>
        </xdr:cNvPr>
        <xdr:cNvSpPr/>
      </xdr:nvSpPr>
      <xdr:spPr>
        <a:xfrm>
          <a:off x="47625" y="219075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15</xdr:row>
      <xdr:rowOff>180975</xdr:rowOff>
    </xdr:from>
    <xdr:to>
      <xdr:col>2</xdr:col>
      <xdr:colOff>581025</xdr:colOff>
      <xdr:row>19</xdr:row>
      <xdr:rowOff>38100</xdr:rowOff>
    </xdr:to>
    <xdr:sp macro="" textlink="">
      <xdr:nvSpPr>
        <xdr:cNvPr id="26" name="Flowchart: Terminator 25">
          <a:extLst>
            <a:ext uri="{FF2B5EF4-FFF2-40B4-BE49-F238E27FC236}">
              <a16:creationId xmlns:a16="http://schemas.microsoft.com/office/drawing/2014/main" id="{EAE0B24C-DFD1-43A2-9612-3E9B2022DE14}"/>
            </a:ext>
          </a:extLst>
        </xdr:cNvPr>
        <xdr:cNvSpPr/>
      </xdr:nvSpPr>
      <xdr:spPr>
        <a:xfrm>
          <a:off x="0" y="3038475"/>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38100</xdr:rowOff>
    </xdr:from>
    <xdr:to>
      <xdr:col>2</xdr:col>
      <xdr:colOff>581025</xdr:colOff>
      <xdr:row>23</xdr:row>
      <xdr:rowOff>85725</xdr:rowOff>
    </xdr:to>
    <xdr:sp macro="" textlink="">
      <xdr:nvSpPr>
        <xdr:cNvPr id="27" name="Flowchart: Terminator 26">
          <a:hlinkClick xmlns:r="http://schemas.openxmlformats.org/officeDocument/2006/relationships" r:id="rId8"/>
          <a:extLst>
            <a:ext uri="{FF2B5EF4-FFF2-40B4-BE49-F238E27FC236}">
              <a16:creationId xmlns:a16="http://schemas.microsoft.com/office/drawing/2014/main" id="{90315D8E-FBC6-4811-841D-AFA3D325D107}"/>
            </a:ext>
          </a:extLst>
        </xdr:cNvPr>
        <xdr:cNvSpPr/>
      </xdr:nvSpPr>
      <xdr:spPr>
        <a:xfrm>
          <a:off x="0" y="384810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8</xdr:row>
      <xdr:rowOff>19050</xdr:rowOff>
    </xdr:from>
    <xdr:to>
      <xdr:col>2</xdr:col>
      <xdr:colOff>419100</xdr:colOff>
      <xdr:row>9</xdr:row>
      <xdr:rowOff>142875</xdr:rowOff>
    </xdr:to>
    <xdr:sp macro="" textlink="">
      <xdr:nvSpPr>
        <xdr:cNvPr id="28" name="TextBox 27">
          <a:extLst>
            <a:ext uri="{FF2B5EF4-FFF2-40B4-BE49-F238E27FC236}">
              <a16:creationId xmlns:a16="http://schemas.microsoft.com/office/drawing/2014/main" id="{26B5F9BC-2BC3-2D6A-E2F0-317A2D57B4B7}"/>
            </a:ext>
          </a:extLst>
        </xdr:cNvPr>
        <xdr:cNvSpPr txBox="1"/>
      </xdr:nvSpPr>
      <xdr:spPr>
        <a:xfrm>
          <a:off x="228600" y="154305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DASHBOARD</a:t>
          </a:r>
        </a:p>
      </xdr:txBody>
    </xdr:sp>
    <xdr:clientData/>
  </xdr:twoCellAnchor>
  <xdr:twoCellAnchor>
    <xdr:from>
      <xdr:col>0</xdr:col>
      <xdr:colOff>276225</xdr:colOff>
      <xdr:row>12</xdr:row>
      <xdr:rowOff>28576</xdr:rowOff>
    </xdr:from>
    <xdr:to>
      <xdr:col>2</xdr:col>
      <xdr:colOff>314325</xdr:colOff>
      <xdr:row>13</xdr:row>
      <xdr:rowOff>180976</xdr:rowOff>
    </xdr:to>
    <xdr:sp macro="" textlink="">
      <xdr:nvSpPr>
        <xdr:cNvPr id="30" name="TextBox 29">
          <a:extLst>
            <a:ext uri="{FF2B5EF4-FFF2-40B4-BE49-F238E27FC236}">
              <a16:creationId xmlns:a16="http://schemas.microsoft.com/office/drawing/2014/main" id="{45EB7060-8FFA-1F8E-5F6C-37E7C195A713}"/>
            </a:ext>
          </a:extLst>
        </xdr:cNvPr>
        <xdr:cNvSpPr txBox="1"/>
      </xdr:nvSpPr>
      <xdr:spPr>
        <a:xfrm>
          <a:off x="276225" y="2314576"/>
          <a:ext cx="1257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latin typeface="+mn-lt"/>
              <a:ea typeface="+mn-ea"/>
              <a:cs typeface="+mn-cs"/>
            </a:rPr>
            <a:t>PRODUCTS</a:t>
          </a:r>
        </a:p>
        <a:p>
          <a:endParaRPr lang="en-US" sz="1100"/>
        </a:p>
      </xdr:txBody>
    </xdr:sp>
    <xdr:clientData/>
  </xdr:twoCellAnchor>
  <xdr:twoCellAnchor>
    <xdr:from>
      <xdr:col>0</xdr:col>
      <xdr:colOff>152400</xdr:colOff>
      <xdr:row>16</xdr:row>
      <xdr:rowOff>152401</xdr:rowOff>
    </xdr:from>
    <xdr:to>
      <xdr:col>2</xdr:col>
      <xdr:colOff>485775</xdr:colOff>
      <xdr:row>18</xdr:row>
      <xdr:rowOff>114301</xdr:rowOff>
    </xdr:to>
    <xdr:sp macro="" textlink="">
      <xdr:nvSpPr>
        <xdr:cNvPr id="31" name="TextBox 30">
          <a:hlinkClick xmlns:r="http://schemas.openxmlformats.org/officeDocument/2006/relationships" r:id="rId9"/>
          <a:extLst>
            <a:ext uri="{FF2B5EF4-FFF2-40B4-BE49-F238E27FC236}">
              <a16:creationId xmlns:a16="http://schemas.microsoft.com/office/drawing/2014/main" id="{3A1FB8AF-A371-F55D-8061-C1A0F1E19D7D}"/>
            </a:ext>
          </a:extLst>
        </xdr:cNvPr>
        <xdr:cNvSpPr txBox="1"/>
      </xdr:nvSpPr>
      <xdr:spPr>
        <a:xfrm>
          <a:off x="152400" y="3200401"/>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SALESPEOPLE</a:t>
          </a:r>
        </a:p>
      </xdr:txBody>
    </xdr:sp>
    <xdr:clientData/>
  </xdr:twoCellAnchor>
  <xdr:twoCellAnchor>
    <xdr:from>
      <xdr:col>0</xdr:col>
      <xdr:colOff>114301</xdr:colOff>
      <xdr:row>21</xdr:row>
      <xdr:rowOff>0</xdr:rowOff>
    </xdr:from>
    <xdr:to>
      <xdr:col>2</xdr:col>
      <xdr:colOff>400051</xdr:colOff>
      <xdr:row>22</xdr:row>
      <xdr:rowOff>171450</xdr:rowOff>
    </xdr:to>
    <xdr:sp macro="" textlink="">
      <xdr:nvSpPr>
        <xdr:cNvPr id="32" name="TextBox 31">
          <a:extLst>
            <a:ext uri="{FF2B5EF4-FFF2-40B4-BE49-F238E27FC236}">
              <a16:creationId xmlns:a16="http://schemas.microsoft.com/office/drawing/2014/main" id="{F2A5D580-6D86-26B8-0DEC-A85DB49E7DE2}"/>
            </a:ext>
          </a:extLst>
        </xdr:cNvPr>
        <xdr:cNvSpPr txBox="1"/>
      </xdr:nvSpPr>
      <xdr:spPr>
        <a:xfrm>
          <a:off x="114301" y="4000500"/>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ABOUT PAGE</a:t>
          </a:r>
        </a:p>
      </xdr:txBody>
    </xdr:sp>
    <xdr:clientData/>
  </xdr:twoCellAnchor>
  <xdr:twoCellAnchor>
    <xdr:from>
      <xdr:col>4</xdr:col>
      <xdr:colOff>342900</xdr:colOff>
      <xdr:row>12</xdr:row>
      <xdr:rowOff>104775</xdr:rowOff>
    </xdr:from>
    <xdr:to>
      <xdr:col>7</xdr:col>
      <xdr:colOff>304800</xdr:colOff>
      <xdr:row>14</xdr:row>
      <xdr:rowOff>142875</xdr:rowOff>
    </xdr:to>
    <xdr:sp macro="" textlink="">
      <xdr:nvSpPr>
        <xdr:cNvPr id="33" name="TextBox 32">
          <a:extLst>
            <a:ext uri="{FF2B5EF4-FFF2-40B4-BE49-F238E27FC236}">
              <a16:creationId xmlns:a16="http://schemas.microsoft.com/office/drawing/2014/main" id="{9DC57C34-6178-A692-9CB5-A0AB92E206DF}"/>
            </a:ext>
          </a:extLst>
        </xdr:cNvPr>
        <xdr:cNvSpPr txBox="1"/>
      </xdr:nvSpPr>
      <xdr:spPr>
        <a:xfrm>
          <a:off x="2781300" y="2390775"/>
          <a:ext cx="17907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ANALYTICS</a:t>
          </a:r>
        </a:p>
      </xdr:txBody>
    </xdr:sp>
    <xdr:clientData/>
  </xdr:twoCellAnchor>
  <xdr:twoCellAnchor>
    <xdr:from>
      <xdr:col>9</xdr:col>
      <xdr:colOff>114300</xdr:colOff>
      <xdr:row>14</xdr:row>
      <xdr:rowOff>114299</xdr:rowOff>
    </xdr:from>
    <xdr:to>
      <xdr:col>12</xdr:col>
      <xdr:colOff>542925</xdr:colOff>
      <xdr:row>17</xdr:row>
      <xdr:rowOff>161924</xdr:rowOff>
    </xdr:to>
    <xdr:sp macro="" textlink="">
      <xdr:nvSpPr>
        <xdr:cNvPr id="34" name="TextBox 33">
          <a:extLst>
            <a:ext uri="{FF2B5EF4-FFF2-40B4-BE49-F238E27FC236}">
              <a16:creationId xmlns:a16="http://schemas.microsoft.com/office/drawing/2014/main" id="{A3426DBB-212B-4202-8929-548D524F8784}"/>
            </a:ext>
          </a:extLst>
        </xdr:cNvPr>
        <xdr:cNvSpPr txBox="1"/>
      </xdr:nvSpPr>
      <xdr:spPr>
        <a:xfrm>
          <a:off x="5600700" y="2781299"/>
          <a:ext cx="22574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Sales</a:t>
          </a:r>
        </a:p>
      </xdr:txBody>
    </xdr:sp>
    <xdr:clientData/>
  </xdr:twoCellAnchor>
  <xdr:twoCellAnchor>
    <xdr:from>
      <xdr:col>3</xdr:col>
      <xdr:colOff>495299</xdr:colOff>
      <xdr:row>19</xdr:row>
      <xdr:rowOff>76200</xdr:rowOff>
    </xdr:from>
    <xdr:to>
      <xdr:col>7</xdr:col>
      <xdr:colOff>257175</xdr:colOff>
      <xdr:row>21</xdr:row>
      <xdr:rowOff>114300</xdr:rowOff>
    </xdr:to>
    <xdr:sp macro="" textlink="">
      <xdr:nvSpPr>
        <xdr:cNvPr id="35" name="TextBox 34">
          <a:extLst>
            <a:ext uri="{FF2B5EF4-FFF2-40B4-BE49-F238E27FC236}">
              <a16:creationId xmlns:a16="http://schemas.microsoft.com/office/drawing/2014/main" id="{7F000E79-A603-4C8B-A53A-4CD3FCCFB8CE}"/>
            </a:ext>
          </a:extLst>
        </xdr:cNvPr>
        <xdr:cNvSpPr txBox="1"/>
      </xdr:nvSpPr>
      <xdr:spPr>
        <a:xfrm>
          <a:off x="2324099" y="3695700"/>
          <a:ext cx="22002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 By</a:t>
          </a:r>
          <a:r>
            <a:rPr lang="en-US" sz="2000" b="1" baseline="0"/>
            <a:t> Products</a:t>
          </a:r>
          <a:endParaRPr lang="en-US" sz="2000" b="1"/>
        </a:p>
      </xdr:txBody>
    </xdr:sp>
    <xdr:clientData/>
  </xdr:twoCellAnchor>
  <xdr:twoCellAnchor>
    <xdr:from>
      <xdr:col>11</xdr:col>
      <xdr:colOff>571500</xdr:colOff>
      <xdr:row>16</xdr:row>
      <xdr:rowOff>161926</xdr:rowOff>
    </xdr:from>
    <xdr:to>
      <xdr:col>19</xdr:col>
      <xdr:colOff>552450</xdr:colOff>
      <xdr:row>23</xdr:row>
      <xdr:rowOff>28575</xdr:rowOff>
    </xdr:to>
    <xdr:graphicFrame macro="">
      <xdr:nvGraphicFramePr>
        <xdr:cNvPr id="36" name="Chart 35">
          <a:extLst>
            <a:ext uri="{FF2B5EF4-FFF2-40B4-BE49-F238E27FC236}">
              <a16:creationId xmlns:a16="http://schemas.microsoft.com/office/drawing/2014/main" id="{D72EC1B2-AF1B-4012-82AB-8BD1D3C06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76200</xdr:colOff>
      <xdr:row>1</xdr:row>
      <xdr:rowOff>28575</xdr:rowOff>
    </xdr:from>
    <xdr:to>
      <xdr:col>2</xdr:col>
      <xdr:colOff>495408</xdr:colOff>
      <xdr:row>6</xdr:row>
      <xdr:rowOff>9525</xdr:rowOff>
    </xdr:to>
    <xdr:pic>
      <xdr:nvPicPr>
        <xdr:cNvPr id="37" name="Picture 36">
          <a:extLst>
            <a:ext uri="{FF2B5EF4-FFF2-40B4-BE49-F238E27FC236}">
              <a16:creationId xmlns:a16="http://schemas.microsoft.com/office/drawing/2014/main" id="{D6C81724-A983-C50A-DEC4-8F318C7FD102}"/>
            </a:ext>
          </a:extLst>
        </xdr:cNvPr>
        <xdr:cNvPicPr>
          <a:picLocks noChangeAspect="1"/>
        </xdr:cNvPicPr>
      </xdr:nvPicPr>
      <xdr:blipFill rotWithShape="1">
        <a:blip xmlns:r="http://schemas.openxmlformats.org/officeDocument/2006/relationships" r:embed="rId11"/>
        <a:srcRect l="9947"/>
        <a:stretch>
          <a:fillRect/>
        </a:stretch>
      </xdr:blipFill>
      <xdr:spPr>
        <a:xfrm>
          <a:off x="76200" y="219075"/>
          <a:ext cx="1638408" cy="933450"/>
        </a:xfrm>
        <a:prstGeom prst="rect">
          <a:avLst/>
        </a:prstGeom>
      </xdr:spPr>
    </xdr:pic>
    <xdr:clientData/>
  </xdr:twoCellAnchor>
  <xdr:twoCellAnchor>
    <xdr:from>
      <xdr:col>11</xdr:col>
      <xdr:colOff>609599</xdr:colOff>
      <xdr:row>26</xdr:row>
      <xdr:rowOff>104775</xdr:rowOff>
    </xdr:from>
    <xdr:to>
      <xdr:col>19</xdr:col>
      <xdr:colOff>304799</xdr:colOff>
      <xdr:row>34</xdr:row>
      <xdr:rowOff>133350</xdr:rowOff>
    </xdr:to>
    <xdr:graphicFrame macro="">
      <xdr:nvGraphicFramePr>
        <xdr:cNvPr id="38" name="Chart 37">
          <a:extLst>
            <a:ext uri="{FF2B5EF4-FFF2-40B4-BE49-F238E27FC236}">
              <a16:creationId xmlns:a16="http://schemas.microsoft.com/office/drawing/2014/main" id="{BC05E21D-B4CF-4052-80FD-C3CCF18E5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514349</xdr:colOff>
      <xdr:row>24</xdr:row>
      <xdr:rowOff>123825</xdr:rowOff>
    </xdr:from>
    <xdr:to>
      <xdr:col>15</xdr:col>
      <xdr:colOff>28574</xdr:colOff>
      <xdr:row>26</xdr:row>
      <xdr:rowOff>161925</xdr:rowOff>
    </xdr:to>
    <xdr:sp macro="" textlink="">
      <xdr:nvSpPr>
        <xdr:cNvPr id="41" name="TextBox 40">
          <a:extLst>
            <a:ext uri="{FF2B5EF4-FFF2-40B4-BE49-F238E27FC236}">
              <a16:creationId xmlns:a16="http://schemas.microsoft.com/office/drawing/2014/main" id="{34CF20FC-624B-42D2-9A1B-53B9A8F014A6}"/>
            </a:ext>
          </a:extLst>
        </xdr:cNvPr>
        <xdr:cNvSpPr txBox="1"/>
      </xdr:nvSpPr>
      <xdr:spPr>
        <a:xfrm>
          <a:off x="7219949" y="4695825"/>
          <a:ext cx="19526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 By</a:t>
          </a:r>
          <a:r>
            <a:rPr lang="en-US" sz="2000" b="1" baseline="0"/>
            <a:t> Region</a:t>
          </a:r>
          <a:endParaRPr lang="en-US" sz="2000" b="1"/>
        </a:p>
      </xdr:txBody>
    </xdr:sp>
    <xdr:clientData/>
  </xdr:twoCellAnchor>
  <xdr:twoCellAnchor>
    <xdr:from>
      <xdr:col>3</xdr:col>
      <xdr:colOff>333375</xdr:colOff>
      <xdr:row>21</xdr:row>
      <xdr:rowOff>95250</xdr:rowOff>
    </xdr:from>
    <xdr:to>
      <xdr:col>11</xdr:col>
      <xdr:colOff>28575</xdr:colOff>
      <xdr:row>34</xdr:row>
      <xdr:rowOff>57150</xdr:rowOff>
    </xdr:to>
    <xdr:graphicFrame macro="">
      <xdr:nvGraphicFramePr>
        <xdr:cNvPr id="42" name="Chart 41">
          <a:extLst>
            <a:ext uri="{FF2B5EF4-FFF2-40B4-BE49-F238E27FC236}">
              <a16:creationId xmlns:a16="http://schemas.microsoft.com/office/drawing/2014/main" id="{CE007E79-E6D3-43EB-88AE-AD3C4A2A2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561975</xdr:colOff>
      <xdr:row>14</xdr:row>
      <xdr:rowOff>123824</xdr:rowOff>
    </xdr:from>
    <xdr:to>
      <xdr:col>8</xdr:col>
      <xdr:colOff>381000</xdr:colOff>
      <xdr:row>17</xdr:row>
      <xdr:rowOff>171449</xdr:rowOff>
    </xdr:to>
    <xdr:sp macro="" textlink="">
      <xdr:nvSpPr>
        <xdr:cNvPr id="44" name="TextBox 43">
          <a:extLst>
            <a:ext uri="{FF2B5EF4-FFF2-40B4-BE49-F238E27FC236}">
              <a16:creationId xmlns:a16="http://schemas.microsoft.com/office/drawing/2014/main" id="{DBE50E28-F237-1B86-0AA2-1A5AF83E3634}"/>
            </a:ext>
          </a:extLst>
        </xdr:cNvPr>
        <xdr:cNvSpPr txBox="1"/>
      </xdr:nvSpPr>
      <xdr:spPr>
        <a:xfrm>
          <a:off x="3000375" y="2790824"/>
          <a:ext cx="22574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Amount</a:t>
          </a:r>
        </a:p>
      </xdr:txBody>
    </xdr:sp>
    <xdr:clientData/>
  </xdr:twoCellAnchor>
  <xdr:twoCellAnchor>
    <xdr:from>
      <xdr:col>11</xdr:col>
      <xdr:colOff>485774</xdr:colOff>
      <xdr:row>14</xdr:row>
      <xdr:rowOff>95250</xdr:rowOff>
    </xdr:from>
    <xdr:to>
      <xdr:col>14</xdr:col>
      <xdr:colOff>609599</xdr:colOff>
      <xdr:row>16</xdr:row>
      <xdr:rowOff>133350</xdr:rowOff>
    </xdr:to>
    <xdr:sp macro="" textlink="">
      <xdr:nvSpPr>
        <xdr:cNvPr id="45" name="TextBox 44">
          <a:extLst>
            <a:ext uri="{FF2B5EF4-FFF2-40B4-BE49-F238E27FC236}">
              <a16:creationId xmlns:a16="http://schemas.microsoft.com/office/drawing/2014/main" id="{0E5937ED-E3F7-61E8-2F14-21E5AE949019}"/>
            </a:ext>
          </a:extLst>
        </xdr:cNvPr>
        <xdr:cNvSpPr txBox="1"/>
      </xdr:nvSpPr>
      <xdr:spPr>
        <a:xfrm>
          <a:off x="7191374" y="2762250"/>
          <a:ext cx="19526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Sales By</a:t>
          </a:r>
          <a:r>
            <a:rPr lang="en-US" sz="2000" b="1" baseline="0"/>
            <a:t> Month</a:t>
          </a:r>
          <a:endParaRPr lang="en-US" sz="2000" b="1"/>
        </a:p>
      </xdr:txBody>
    </xdr:sp>
    <xdr:clientData/>
  </xdr:twoCellAnchor>
  <xdr:twoCellAnchor>
    <xdr:from>
      <xdr:col>4</xdr:col>
      <xdr:colOff>504826</xdr:colOff>
      <xdr:row>16</xdr:row>
      <xdr:rowOff>19050</xdr:rowOff>
    </xdr:from>
    <xdr:to>
      <xdr:col>7</xdr:col>
      <xdr:colOff>0</xdr:colOff>
      <xdr:row>18</xdr:row>
      <xdr:rowOff>104776</xdr:rowOff>
    </xdr:to>
    <xdr:sp macro="" textlink="Sheet3!C42">
      <xdr:nvSpPr>
        <xdr:cNvPr id="46" name="TextBox 45">
          <a:extLst>
            <a:ext uri="{FF2B5EF4-FFF2-40B4-BE49-F238E27FC236}">
              <a16:creationId xmlns:a16="http://schemas.microsoft.com/office/drawing/2014/main" id="{15DD898D-5C27-DD9D-441E-4442AB1C88CC}"/>
            </a:ext>
          </a:extLst>
        </xdr:cNvPr>
        <xdr:cNvSpPr txBox="1"/>
      </xdr:nvSpPr>
      <xdr:spPr>
        <a:xfrm>
          <a:off x="2943226" y="3067050"/>
          <a:ext cx="1323974" cy="466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004907-C7FC-42F3-83B0-9AFF23D6A4E8}" type="TxLink">
            <a:rPr lang="en-US" sz="2000" b="1" i="0" u="none" strike="noStrike">
              <a:solidFill>
                <a:srgbClr val="000000"/>
              </a:solidFill>
              <a:latin typeface="Aptos Narrow"/>
            </a:rPr>
            <a:pPr/>
            <a:t>1782570</a:t>
          </a:fld>
          <a:endParaRPr lang="en-US" sz="4000" b="1"/>
        </a:p>
      </xdr:txBody>
    </xdr:sp>
    <xdr:clientData/>
  </xdr:twoCellAnchor>
  <xdr:twoCellAnchor>
    <xdr:from>
      <xdr:col>9</xdr:col>
      <xdr:colOff>323850</xdr:colOff>
      <xdr:row>16</xdr:row>
      <xdr:rowOff>19050</xdr:rowOff>
    </xdr:from>
    <xdr:to>
      <xdr:col>10</xdr:col>
      <xdr:colOff>571500</xdr:colOff>
      <xdr:row>17</xdr:row>
      <xdr:rowOff>180975</xdr:rowOff>
    </xdr:to>
    <xdr:sp macro="" textlink="Sheet3!C45">
      <xdr:nvSpPr>
        <xdr:cNvPr id="47" name="TextBox 46">
          <a:extLst>
            <a:ext uri="{FF2B5EF4-FFF2-40B4-BE49-F238E27FC236}">
              <a16:creationId xmlns:a16="http://schemas.microsoft.com/office/drawing/2014/main" id="{C5F25B10-4DFE-4709-667B-D8E7E1BD1114}"/>
            </a:ext>
          </a:extLst>
        </xdr:cNvPr>
        <xdr:cNvSpPr txBox="1"/>
      </xdr:nvSpPr>
      <xdr:spPr>
        <a:xfrm>
          <a:off x="5810250" y="3067050"/>
          <a:ext cx="8572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57D507-7FA5-4DC8-904A-1241C9C28982}" type="TxLink">
            <a:rPr lang="en-US" sz="2000" b="1" i="0" u="none" strike="noStrike">
              <a:solidFill>
                <a:srgbClr val="000000"/>
              </a:solidFill>
              <a:latin typeface="Aptos Narrow"/>
              <a:ea typeface="+mn-ea"/>
              <a:cs typeface="+mn-cs"/>
            </a:rPr>
            <a:pPr marL="0" indent="0"/>
            <a:t>366</a:t>
          </a:fld>
          <a:endParaRPr lang="en-US" sz="2000" b="1" i="0" u="none" strike="noStrike">
            <a:solidFill>
              <a:srgbClr val="000000"/>
            </a:solidFill>
            <a:latin typeface="Aptos Narrow"/>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9526</xdr:rowOff>
    </xdr:from>
    <xdr:to>
      <xdr:col>20</xdr:col>
      <xdr:colOff>238125</xdr:colOff>
      <xdr:row>35</xdr:row>
      <xdr:rowOff>161926</xdr:rowOff>
    </xdr:to>
    <xdr:sp macro="" textlink="">
      <xdr:nvSpPr>
        <xdr:cNvPr id="2" name="Rectangle 1">
          <a:extLst>
            <a:ext uri="{FF2B5EF4-FFF2-40B4-BE49-F238E27FC236}">
              <a16:creationId xmlns:a16="http://schemas.microsoft.com/office/drawing/2014/main" id="{AB954DA8-2388-4F6F-9A9C-3DBBB1E06339}"/>
            </a:ext>
          </a:extLst>
        </xdr:cNvPr>
        <xdr:cNvSpPr/>
      </xdr:nvSpPr>
      <xdr:spPr>
        <a:xfrm>
          <a:off x="0" y="9526"/>
          <a:ext cx="12430125" cy="681990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0</xdr:row>
      <xdr:rowOff>47624</xdr:rowOff>
    </xdr:from>
    <xdr:to>
      <xdr:col>20</xdr:col>
      <xdr:colOff>152400</xdr:colOff>
      <xdr:row>35</xdr:row>
      <xdr:rowOff>38099</xdr:rowOff>
    </xdr:to>
    <xdr:sp macro="" textlink="">
      <xdr:nvSpPr>
        <xdr:cNvPr id="3" name="Rectangle 2">
          <a:extLst>
            <a:ext uri="{FF2B5EF4-FFF2-40B4-BE49-F238E27FC236}">
              <a16:creationId xmlns:a16="http://schemas.microsoft.com/office/drawing/2014/main" id="{48C22598-1119-4C80-B589-091581ACB7A5}"/>
            </a:ext>
          </a:extLst>
        </xdr:cNvPr>
        <xdr:cNvSpPr/>
      </xdr:nvSpPr>
      <xdr:spPr>
        <a:xfrm>
          <a:off x="1905000" y="47624"/>
          <a:ext cx="10439400" cy="66579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304800</xdr:colOff>
      <xdr:row>11</xdr:row>
      <xdr:rowOff>152400</xdr:rowOff>
    </xdr:from>
    <xdr:to>
      <xdr:col>4</xdr:col>
      <xdr:colOff>266700</xdr:colOff>
      <xdr:row>14</xdr:row>
      <xdr:rowOff>152400</xdr:rowOff>
    </xdr:to>
    <xdr:pic>
      <xdr:nvPicPr>
        <xdr:cNvPr id="7" name="Graphic 6" descr="Bar chart with solid fill">
          <a:extLst>
            <a:ext uri="{FF2B5EF4-FFF2-40B4-BE49-F238E27FC236}">
              <a16:creationId xmlns:a16="http://schemas.microsoft.com/office/drawing/2014/main" id="{F72AF813-4B03-4C43-92C2-8D804A5DD2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3600" y="2247900"/>
          <a:ext cx="571500" cy="571500"/>
        </a:xfrm>
        <a:prstGeom prst="rect">
          <a:avLst/>
        </a:prstGeom>
      </xdr:spPr>
    </xdr:pic>
    <xdr:clientData/>
  </xdr:twoCellAnchor>
  <xdr:twoCellAnchor>
    <xdr:from>
      <xdr:col>3</xdr:col>
      <xdr:colOff>266700</xdr:colOff>
      <xdr:row>14</xdr:row>
      <xdr:rowOff>85725</xdr:rowOff>
    </xdr:from>
    <xdr:to>
      <xdr:col>11</xdr:col>
      <xdr:colOff>247650</xdr:colOff>
      <xdr:row>34</xdr:row>
      <xdr:rowOff>180976</xdr:rowOff>
    </xdr:to>
    <xdr:sp macro="" textlink="">
      <xdr:nvSpPr>
        <xdr:cNvPr id="8" name="Rectangle 7">
          <a:extLst>
            <a:ext uri="{FF2B5EF4-FFF2-40B4-BE49-F238E27FC236}">
              <a16:creationId xmlns:a16="http://schemas.microsoft.com/office/drawing/2014/main" id="{324D0580-5118-43CC-8B01-158B2463F8DD}"/>
            </a:ext>
          </a:extLst>
        </xdr:cNvPr>
        <xdr:cNvSpPr/>
      </xdr:nvSpPr>
      <xdr:spPr>
        <a:xfrm>
          <a:off x="2095500" y="2752725"/>
          <a:ext cx="4857750" cy="3905251"/>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390525</xdr:colOff>
      <xdr:row>25</xdr:row>
      <xdr:rowOff>0</xdr:rowOff>
    </xdr:from>
    <xdr:to>
      <xdr:col>20</xdr:col>
      <xdr:colOff>57150</xdr:colOff>
      <xdr:row>35</xdr:row>
      <xdr:rowOff>9525</xdr:rowOff>
    </xdr:to>
    <xdr:sp macro="" textlink="">
      <xdr:nvSpPr>
        <xdr:cNvPr id="9" name="Rectangle 8">
          <a:extLst>
            <a:ext uri="{FF2B5EF4-FFF2-40B4-BE49-F238E27FC236}">
              <a16:creationId xmlns:a16="http://schemas.microsoft.com/office/drawing/2014/main" id="{F56CB250-27B9-48E7-818D-D757E9650C02}"/>
            </a:ext>
          </a:extLst>
        </xdr:cNvPr>
        <xdr:cNvSpPr/>
      </xdr:nvSpPr>
      <xdr:spPr>
        <a:xfrm>
          <a:off x="7096125" y="4762500"/>
          <a:ext cx="5153025" cy="191452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381000</xdr:colOff>
      <xdr:row>14</xdr:row>
      <xdr:rowOff>104775</xdr:rowOff>
    </xdr:from>
    <xdr:to>
      <xdr:col>20</xdr:col>
      <xdr:colOff>47625</xdr:colOff>
      <xdr:row>24</xdr:row>
      <xdr:rowOff>66675</xdr:rowOff>
    </xdr:to>
    <xdr:sp macro="" textlink="">
      <xdr:nvSpPr>
        <xdr:cNvPr id="10" name="Rectangle 9">
          <a:extLst>
            <a:ext uri="{FF2B5EF4-FFF2-40B4-BE49-F238E27FC236}">
              <a16:creationId xmlns:a16="http://schemas.microsoft.com/office/drawing/2014/main" id="{A050D539-620D-4029-925B-193792BCD118}"/>
            </a:ext>
          </a:extLst>
        </xdr:cNvPr>
        <xdr:cNvSpPr/>
      </xdr:nvSpPr>
      <xdr:spPr>
        <a:xfrm>
          <a:off x="7086600" y="2771775"/>
          <a:ext cx="5153025" cy="186690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38100</xdr:colOff>
      <xdr:row>7</xdr:row>
      <xdr:rowOff>38100</xdr:rowOff>
    </xdr:from>
    <xdr:to>
      <xdr:col>3</xdr:col>
      <xdr:colOff>9525</xdr:colOff>
      <xdr:row>10</xdr:row>
      <xdr:rowOff>85725</xdr:rowOff>
    </xdr:to>
    <xdr:sp macro="" textlink="">
      <xdr:nvSpPr>
        <xdr:cNvPr id="17" name="Flowchart: Terminator 16">
          <a:hlinkClick xmlns:r="http://schemas.openxmlformats.org/officeDocument/2006/relationships" r:id="rId3"/>
          <a:extLst>
            <a:ext uri="{FF2B5EF4-FFF2-40B4-BE49-F238E27FC236}">
              <a16:creationId xmlns:a16="http://schemas.microsoft.com/office/drawing/2014/main" id="{F55CC2EA-F8AB-42A2-B83C-4A3692A1CB4B}"/>
            </a:ext>
          </a:extLst>
        </xdr:cNvPr>
        <xdr:cNvSpPr/>
      </xdr:nvSpPr>
      <xdr:spPr>
        <a:xfrm>
          <a:off x="38100" y="137160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38100</xdr:colOff>
      <xdr:row>11</xdr:row>
      <xdr:rowOff>85725</xdr:rowOff>
    </xdr:from>
    <xdr:to>
      <xdr:col>3</xdr:col>
      <xdr:colOff>9525</xdr:colOff>
      <xdr:row>14</xdr:row>
      <xdr:rowOff>133350</xdr:rowOff>
    </xdr:to>
    <xdr:sp macro="" textlink="">
      <xdr:nvSpPr>
        <xdr:cNvPr id="18" name="Flowchart: Terminator 17">
          <a:extLst>
            <a:ext uri="{FF2B5EF4-FFF2-40B4-BE49-F238E27FC236}">
              <a16:creationId xmlns:a16="http://schemas.microsoft.com/office/drawing/2014/main" id="{BC2EA1E3-E386-41A1-8BF6-5A158BA5C421}"/>
            </a:ext>
          </a:extLst>
        </xdr:cNvPr>
        <xdr:cNvSpPr/>
      </xdr:nvSpPr>
      <xdr:spPr>
        <a:xfrm>
          <a:off x="38100" y="2181225"/>
          <a:ext cx="1800225" cy="619125"/>
        </a:xfrm>
        <a:prstGeom prst="flowChartTerminator">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15</xdr:row>
      <xdr:rowOff>180975</xdr:rowOff>
    </xdr:from>
    <xdr:to>
      <xdr:col>2</xdr:col>
      <xdr:colOff>581025</xdr:colOff>
      <xdr:row>19</xdr:row>
      <xdr:rowOff>38100</xdr:rowOff>
    </xdr:to>
    <xdr:sp macro="" textlink="">
      <xdr:nvSpPr>
        <xdr:cNvPr id="19" name="Flowchart: Terminator 18">
          <a:hlinkClick xmlns:r="http://schemas.openxmlformats.org/officeDocument/2006/relationships" r:id="rId4"/>
          <a:extLst>
            <a:ext uri="{FF2B5EF4-FFF2-40B4-BE49-F238E27FC236}">
              <a16:creationId xmlns:a16="http://schemas.microsoft.com/office/drawing/2014/main" id="{00992470-3374-4B32-8E02-E7E58904676F}"/>
            </a:ext>
          </a:extLst>
        </xdr:cNvPr>
        <xdr:cNvSpPr/>
      </xdr:nvSpPr>
      <xdr:spPr>
        <a:xfrm>
          <a:off x="0" y="3038475"/>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38100</xdr:rowOff>
    </xdr:from>
    <xdr:to>
      <xdr:col>2</xdr:col>
      <xdr:colOff>581025</xdr:colOff>
      <xdr:row>23</xdr:row>
      <xdr:rowOff>85725</xdr:rowOff>
    </xdr:to>
    <xdr:sp macro="" textlink="">
      <xdr:nvSpPr>
        <xdr:cNvPr id="20" name="Flowchart: Terminator 19">
          <a:hlinkClick xmlns:r="http://schemas.openxmlformats.org/officeDocument/2006/relationships" r:id="rId5"/>
          <a:extLst>
            <a:ext uri="{FF2B5EF4-FFF2-40B4-BE49-F238E27FC236}">
              <a16:creationId xmlns:a16="http://schemas.microsoft.com/office/drawing/2014/main" id="{373DFD02-AF05-4089-8F79-55FB640C79D7}"/>
            </a:ext>
          </a:extLst>
        </xdr:cNvPr>
        <xdr:cNvSpPr/>
      </xdr:nvSpPr>
      <xdr:spPr>
        <a:xfrm>
          <a:off x="0" y="384810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8</xdr:row>
      <xdr:rowOff>19050</xdr:rowOff>
    </xdr:from>
    <xdr:to>
      <xdr:col>2</xdr:col>
      <xdr:colOff>419100</xdr:colOff>
      <xdr:row>9</xdr:row>
      <xdr:rowOff>142875</xdr:rowOff>
    </xdr:to>
    <xdr:sp macro="" textlink="">
      <xdr:nvSpPr>
        <xdr:cNvPr id="21" name="TextBox 20">
          <a:extLst>
            <a:ext uri="{FF2B5EF4-FFF2-40B4-BE49-F238E27FC236}">
              <a16:creationId xmlns:a16="http://schemas.microsoft.com/office/drawing/2014/main" id="{FD0EF8BC-AB3C-44B9-A98A-139AF5234813}"/>
            </a:ext>
          </a:extLst>
        </xdr:cNvPr>
        <xdr:cNvSpPr txBox="1"/>
      </xdr:nvSpPr>
      <xdr:spPr>
        <a:xfrm>
          <a:off x="228600" y="154305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DASHBOARD</a:t>
          </a:r>
        </a:p>
      </xdr:txBody>
    </xdr:sp>
    <xdr:clientData/>
  </xdr:twoCellAnchor>
  <xdr:twoCellAnchor>
    <xdr:from>
      <xdr:col>0</xdr:col>
      <xdr:colOff>266700</xdr:colOff>
      <xdr:row>12</xdr:row>
      <xdr:rowOff>19051</xdr:rowOff>
    </xdr:from>
    <xdr:to>
      <xdr:col>2</xdr:col>
      <xdr:colOff>304800</xdr:colOff>
      <xdr:row>13</xdr:row>
      <xdr:rowOff>171451</xdr:rowOff>
    </xdr:to>
    <xdr:sp macro="" textlink="">
      <xdr:nvSpPr>
        <xdr:cNvPr id="22" name="TextBox 21">
          <a:extLst>
            <a:ext uri="{FF2B5EF4-FFF2-40B4-BE49-F238E27FC236}">
              <a16:creationId xmlns:a16="http://schemas.microsoft.com/office/drawing/2014/main" id="{C71D54A4-C51C-419E-AB9E-2D14A9A51778}"/>
            </a:ext>
          </a:extLst>
        </xdr:cNvPr>
        <xdr:cNvSpPr txBox="1"/>
      </xdr:nvSpPr>
      <xdr:spPr>
        <a:xfrm>
          <a:off x="266700" y="2305051"/>
          <a:ext cx="1257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tx1"/>
              </a:solidFill>
              <a:latin typeface="+mn-lt"/>
              <a:ea typeface="+mn-ea"/>
              <a:cs typeface="+mn-cs"/>
            </a:rPr>
            <a:t>PRODUCTS</a:t>
          </a:r>
        </a:p>
        <a:p>
          <a:endParaRPr lang="en-US" sz="1100"/>
        </a:p>
      </xdr:txBody>
    </xdr:sp>
    <xdr:clientData/>
  </xdr:twoCellAnchor>
  <xdr:twoCellAnchor>
    <xdr:from>
      <xdr:col>0</xdr:col>
      <xdr:colOff>152400</xdr:colOff>
      <xdr:row>16</xdr:row>
      <xdr:rowOff>152401</xdr:rowOff>
    </xdr:from>
    <xdr:to>
      <xdr:col>2</xdr:col>
      <xdr:colOff>485775</xdr:colOff>
      <xdr:row>18</xdr:row>
      <xdr:rowOff>114301</xdr:rowOff>
    </xdr:to>
    <xdr:sp macro="" textlink="">
      <xdr:nvSpPr>
        <xdr:cNvPr id="23" name="TextBox 22">
          <a:extLst>
            <a:ext uri="{FF2B5EF4-FFF2-40B4-BE49-F238E27FC236}">
              <a16:creationId xmlns:a16="http://schemas.microsoft.com/office/drawing/2014/main" id="{6432AABD-D24F-48C7-B770-F22FC47DA9E4}"/>
            </a:ext>
          </a:extLst>
        </xdr:cNvPr>
        <xdr:cNvSpPr txBox="1"/>
      </xdr:nvSpPr>
      <xdr:spPr>
        <a:xfrm>
          <a:off x="152400" y="3200401"/>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SALESPEOPLE</a:t>
          </a:r>
        </a:p>
      </xdr:txBody>
    </xdr:sp>
    <xdr:clientData/>
  </xdr:twoCellAnchor>
  <xdr:twoCellAnchor>
    <xdr:from>
      <xdr:col>0</xdr:col>
      <xdr:colOff>114301</xdr:colOff>
      <xdr:row>21</xdr:row>
      <xdr:rowOff>0</xdr:rowOff>
    </xdr:from>
    <xdr:to>
      <xdr:col>2</xdr:col>
      <xdr:colOff>400051</xdr:colOff>
      <xdr:row>22</xdr:row>
      <xdr:rowOff>171450</xdr:rowOff>
    </xdr:to>
    <xdr:sp macro="" textlink="">
      <xdr:nvSpPr>
        <xdr:cNvPr id="24" name="TextBox 23">
          <a:extLst>
            <a:ext uri="{FF2B5EF4-FFF2-40B4-BE49-F238E27FC236}">
              <a16:creationId xmlns:a16="http://schemas.microsoft.com/office/drawing/2014/main" id="{38C3D142-6CAA-40D7-827A-F1F24B545FE4}"/>
            </a:ext>
          </a:extLst>
        </xdr:cNvPr>
        <xdr:cNvSpPr txBox="1"/>
      </xdr:nvSpPr>
      <xdr:spPr>
        <a:xfrm>
          <a:off x="114301" y="4000500"/>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ABOUT PAGE</a:t>
          </a:r>
        </a:p>
      </xdr:txBody>
    </xdr:sp>
    <xdr:clientData/>
  </xdr:twoCellAnchor>
  <xdr:twoCellAnchor>
    <xdr:from>
      <xdr:col>4</xdr:col>
      <xdr:colOff>342900</xdr:colOff>
      <xdr:row>12</xdr:row>
      <xdr:rowOff>104775</xdr:rowOff>
    </xdr:from>
    <xdr:to>
      <xdr:col>7</xdr:col>
      <xdr:colOff>304800</xdr:colOff>
      <xdr:row>14</xdr:row>
      <xdr:rowOff>142875</xdr:rowOff>
    </xdr:to>
    <xdr:sp macro="" textlink="">
      <xdr:nvSpPr>
        <xdr:cNvPr id="25" name="TextBox 24">
          <a:extLst>
            <a:ext uri="{FF2B5EF4-FFF2-40B4-BE49-F238E27FC236}">
              <a16:creationId xmlns:a16="http://schemas.microsoft.com/office/drawing/2014/main" id="{338F456F-2905-4BFD-9E1B-DD0320B8F21D}"/>
            </a:ext>
          </a:extLst>
        </xdr:cNvPr>
        <xdr:cNvSpPr txBox="1"/>
      </xdr:nvSpPr>
      <xdr:spPr>
        <a:xfrm>
          <a:off x="2781300" y="2390775"/>
          <a:ext cx="17907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ANALYTICS</a:t>
          </a:r>
        </a:p>
      </xdr:txBody>
    </xdr:sp>
    <xdr:clientData/>
  </xdr:twoCellAnchor>
  <xdr:twoCellAnchor>
    <xdr:from>
      <xdr:col>3</xdr:col>
      <xdr:colOff>523874</xdr:colOff>
      <xdr:row>14</xdr:row>
      <xdr:rowOff>104775</xdr:rowOff>
    </xdr:from>
    <xdr:to>
      <xdr:col>9</xdr:col>
      <xdr:colOff>38100</xdr:colOff>
      <xdr:row>16</xdr:row>
      <xdr:rowOff>142875</xdr:rowOff>
    </xdr:to>
    <xdr:sp macro="" textlink="">
      <xdr:nvSpPr>
        <xdr:cNvPr id="27" name="TextBox 26">
          <a:extLst>
            <a:ext uri="{FF2B5EF4-FFF2-40B4-BE49-F238E27FC236}">
              <a16:creationId xmlns:a16="http://schemas.microsoft.com/office/drawing/2014/main" id="{894C47DE-8E5D-4959-85C2-FF29E27C54DD}"/>
            </a:ext>
          </a:extLst>
        </xdr:cNvPr>
        <xdr:cNvSpPr txBox="1"/>
      </xdr:nvSpPr>
      <xdr:spPr>
        <a:xfrm>
          <a:off x="2352674" y="2771775"/>
          <a:ext cx="317182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Average sales by Products</a:t>
          </a:r>
        </a:p>
      </xdr:txBody>
    </xdr:sp>
    <xdr:clientData/>
  </xdr:twoCellAnchor>
  <xdr:twoCellAnchor editAs="oneCell">
    <xdr:from>
      <xdr:col>0</xdr:col>
      <xdr:colOff>76200</xdr:colOff>
      <xdr:row>1</xdr:row>
      <xdr:rowOff>28575</xdr:rowOff>
    </xdr:from>
    <xdr:to>
      <xdr:col>2</xdr:col>
      <xdr:colOff>495408</xdr:colOff>
      <xdr:row>6</xdr:row>
      <xdr:rowOff>9525</xdr:rowOff>
    </xdr:to>
    <xdr:pic>
      <xdr:nvPicPr>
        <xdr:cNvPr id="29" name="Picture 28">
          <a:extLst>
            <a:ext uri="{FF2B5EF4-FFF2-40B4-BE49-F238E27FC236}">
              <a16:creationId xmlns:a16="http://schemas.microsoft.com/office/drawing/2014/main" id="{FDC90949-70AF-4A85-BF30-56251C5A4601}"/>
            </a:ext>
          </a:extLst>
        </xdr:cNvPr>
        <xdr:cNvPicPr>
          <a:picLocks noChangeAspect="1"/>
        </xdr:cNvPicPr>
      </xdr:nvPicPr>
      <xdr:blipFill rotWithShape="1">
        <a:blip xmlns:r="http://schemas.openxmlformats.org/officeDocument/2006/relationships" r:embed="rId6"/>
        <a:srcRect l="9947"/>
        <a:stretch>
          <a:fillRect/>
        </a:stretch>
      </xdr:blipFill>
      <xdr:spPr>
        <a:xfrm>
          <a:off x="76200" y="219075"/>
          <a:ext cx="1638408" cy="933450"/>
        </a:xfrm>
        <a:prstGeom prst="rect">
          <a:avLst/>
        </a:prstGeom>
      </xdr:spPr>
    </xdr:pic>
    <xdr:clientData/>
  </xdr:twoCellAnchor>
  <xdr:twoCellAnchor>
    <xdr:from>
      <xdr:col>11</xdr:col>
      <xdr:colOff>514349</xdr:colOff>
      <xdr:row>24</xdr:row>
      <xdr:rowOff>123825</xdr:rowOff>
    </xdr:from>
    <xdr:to>
      <xdr:col>16</xdr:col>
      <xdr:colOff>581025</xdr:colOff>
      <xdr:row>26</xdr:row>
      <xdr:rowOff>161925</xdr:rowOff>
    </xdr:to>
    <xdr:sp macro="" textlink="">
      <xdr:nvSpPr>
        <xdr:cNvPr id="31" name="TextBox 30">
          <a:extLst>
            <a:ext uri="{FF2B5EF4-FFF2-40B4-BE49-F238E27FC236}">
              <a16:creationId xmlns:a16="http://schemas.microsoft.com/office/drawing/2014/main" id="{F62A1803-4C30-488C-A647-BF8CA9527605}"/>
            </a:ext>
          </a:extLst>
        </xdr:cNvPr>
        <xdr:cNvSpPr txBox="1"/>
      </xdr:nvSpPr>
      <xdr:spPr>
        <a:xfrm>
          <a:off x="7219949" y="4695825"/>
          <a:ext cx="31146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Bottom 3 selling</a:t>
          </a:r>
          <a:r>
            <a:rPr lang="en-US" sz="2000" b="1" baseline="0"/>
            <a:t> products</a:t>
          </a:r>
          <a:endParaRPr lang="en-US" sz="2000" b="1"/>
        </a:p>
      </xdr:txBody>
    </xdr:sp>
    <xdr:clientData/>
  </xdr:twoCellAnchor>
  <xdr:twoCellAnchor>
    <xdr:from>
      <xdr:col>11</xdr:col>
      <xdr:colOff>485774</xdr:colOff>
      <xdr:row>14</xdr:row>
      <xdr:rowOff>95250</xdr:rowOff>
    </xdr:from>
    <xdr:to>
      <xdr:col>17</xdr:col>
      <xdr:colOff>19050</xdr:colOff>
      <xdr:row>16</xdr:row>
      <xdr:rowOff>133350</xdr:rowOff>
    </xdr:to>
    <xdr:sp macro="" textlink="">
      <xdr:nvSpPr>
        <xdr:cNvPr id="34" name="TextBox 33">
          <a:extLst>
            <a:ext uri="{FF2B5EF4-FFF2-40B4-BE49-F238E27FC236}">
              <a16:creationId xmlns:a16="http://schemas.microsoft.com/office/drawing/2014/main" id="{6BA4BBF7-308B-4463-8DE9-6257B034CB1C}"/>
            </a:ext>
          </a:extLst>
        </xdr:cNvPr>
        <xdr:cNvSpPr txBox="1"/>
      </xdr:nvSpPr>
      <xdr:spPr>
        <a:xfrm>
          <a:off x="7191374" y="2762250"/>
          <a:ext cx="31908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Top 3 selling products</a:t>
          </a:r>
        </a:p>
      </xdr:txBody>
    </xdr:sp>
    <xdr:clientData/>
  </xdr:twoCellAnchor>
  <xdr:twoCellAnchor>
    <xdr:from>
      <xdr:col>11</xdr:col>
      <xdr:colOff>419099</xdr:colOff>
      <xdr:row>27</xdr:row>
      <xdr:rowOff>9524</xdr:rowOff>
    </xdr:from>
    <xdr:to>
      <xdr:col>20</xdr:col>
      <xdr:colOff>28574</xdr:colOff>
      <xdr:row>33</xdr:row>
      <xdr:rowOff>104775</xdr:rowOff>
    </xdr:to>
    <xdr:graphicFrame macro="">
      <xdr:nvGraphicFramePr>
        <xdr:cNvPr id="42" name="Chart 41">
          <a:extLst>
            <a:ext uri="{FF2B5EF4-FFF2-40B4-BE49-F238E27FC236}">
              <a16:creationId xmlns:a16="http://schemas.microsoft.com/office/drawing/2014/main" id="{5B1A60AB-AA15-41F6-84E7-E3D2621D2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419101</xdr:colOff>
      <xdr:row>17</xdr:row>
      <xdr:rowOff>47625</xdr:rowOff>
    </xdr:from>
    <xdr:to>
      <xdr:col>20</xdr:col>
      <xdr:colOff>9525</xdr:colOff>
      <xdr:row>23</xdr:row>
      <xdr:rowOff>57150</xdr:rowOff>
    </xdr:to>
    <xdr:graphicFrame macro="">
      <xdr:nvGraphicFramePr>
        <xdr:cNvPr id="43" name="Chart 42">
          <a:extLst>
            <a:ext uri="{FF2B5EF4-FFF2-40B4-BE49-F238E27FC236}">
              <a16:creationId xmlns:a16="http://schemas.microsoft.com/office/drawing/2014/main" id="{20E1DE56-271C-49BB-B5BF-4722A4697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352425</xdr:colOff>
      <xdr:row>16</xdr:row>
      <xdr:rowOff>161925</xdr:rowOff>
    </xdr:from>
    <xdr:to>
      <xdr:col>11</xdr:col>
      <xdr:colOff>123825</xdr:colOff>
      <xdr:row>34</xdr:row>
      <xdr:rowOff>66675</xdr:rowOff>
    </xdr:to>
    <xdr:graphicFrame macro="">
      <xdr:nvGraphicFramePr>
        <xdr:cNvPr id="11" name="Chart 10">
          <a:extLst>
            <a:ext uri="{FF2B5EF4-FFF2-40B4-BE49-F238E27FC236}">
              <a16:creationId xmlns:a16="http://schemas.microsoft.com/office/drawing/2014/main" id="{0D3A5E0F-D3E3-4259-83A3-A5E28020D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238124</xdr:colOff>
      <xdr:row>7</xdr:row>
      <xdr:rowOff>152400</xdr:rowOff>
    </xdr:from>
    <xdr:to>
      <xdr:col>20</xdr:col>
      <xdr:colOff>133350</xdr:colOff>
      <xdr:row>11</xdr:row>
      <xdr:rowOff>66676</xdr:rowOff>
    </xdr:to>
    <mc:AlternateContent xmlns:mc="http://schemas.openxmlformats.org/markup-compatibility/2006" xmlns:a14="http://schemas.microsoft.com/office/drawing/2010/main">
      <mc:Choice Requires="a14">
        <xdr:graphicFrame macro="">
          <xdr:nvGraphicFramePr>
            <xdr:cNvPr id="6" name="Salesman 2">
              <a:extLst>
                <a:ext uri="{FF2B5EF4-FFF2-40B4-BE49-F238E27FC236}">
                  <a16:creationId xmlns:a16="http://schemas.microsoft.com/office/drawing/2014/main" id="{551D6D5C-578F-4EC1-9873-5EB1DBB0A44D}"/>
                </a:ext>
              </a:extLst>
            </xdr:cNvPr>
            <xdr:cNvGraphicFramePr/>
          </xdr:nvGraphicFramePr>
          <xdr:xfrm>
            <a:off x="0" y="0"/>
            <a:ext cx="0" cy="0"/>
          </xdr:xfrm>
          <a:graphic>
            <a:graphicData uri="http://schemas.microsoft.com/office/drawing/2010/slicer">
              <sle:slicer xmlns:sle="http://schemas.microsoft.com/office/drawing/2010/slicer" name="Salesman 2"/>
            </a:graphicData>
          </a:graphic>
        </xdr:graphicFrame>
      </mc:Choice>
      <mc:Fallback xmlns="">
        <xdr:sp macro="" textlink="">
          <xdr:nvSpPr>
            <xdr:cNvPr id="0" name=""/>
            <xdr:cNvSpPr>
              <a:spLocks noTextEdit="1"/>
            </xdr:cNvSpPr>
          </xdr:nvSpPr>
          <xdr:spPr>
            <a:xfrm>
              <a:off x="2066924" y="1485900"/>
              <a:ext cx="10258426" cy="676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323851</xdr:colOff>
      <xdr:row>0</xdr:row>
      <xdr:rowOff>142875</xdr:rowOff>
    </xdr:from>
    <xdr:to>
      <xdr:col>20</xdr:col>
      <xdr:colOff>85725</xdr:colOff>
      <xdr:row>6</xdr:row>
      <xdr:rowOff>171450</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56321875-E031-42CC-95B5-ABDB7C6F3C4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077451" y="142875"/>
              <a:ext cx="2200274"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209550</xdr:colOff>
      <xdr:row>0</xdr:row>
      <xdr:rowOff>161923</xdr:rowOff>
    </xdr:from>
    <xdr:to>
      <xdr:col>16</xdr:col>
      <xdr:colOff>228600</xdr:colOff>
      <xdr:row>7</xdr:row>
      <xdr:rowOff>85724</xdr:rowOff>
    </xdr:to>
    <mc:AlternateContent xmlns:mc="http://schemas.openxmlformats.org/markup-compatibility/2006" xmlns:tsle="http://schemas.microsoft.com/office/drawing/2012/timeslicer">
      <mc:Choice Requires="tsle">
        <xdr:graphicFrame macro="">
          <xdr:nvGraphicFramePr>
            <xdr:cNvPr id="14" name="Date 2">
              <a:extLst>
                <a:ext uri="{FF2B5EF4-FFF2-40B4-BE49-F238E27FC236}">
                  <a16:creationId xmlns:a16="http://schemas.microsoft.com/office/drawing/2014/main" id="{9266AA10-61DF-49B1-97D5-4BA787E00F9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38350" y="161923"/>
              <a:ext cx="7943850" cy="12573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9526</xdr:rowOff>
    </xdr:from>
    <xdr:to>
      <xdr:col>20</xdr:col>
      <xdr:colOff>238125</xdr:colOff>
      <xdr:row>35</xdr:row>
      <xdr:rowOff>161926</xdr:rowOff>
    </xdr:to>
    <xdr:sp macro="" textlink="">
      <xdr:nvSpPr>
        <xdr:cNvPr id="2" name="Rectangle 1">
          <a:extLst>
            <a:ext uri="{FF2B5EF4-FFF2-40B4-BE49-F238E27FC236}">
              <a16:creationId xmlns:a16="http://schemas.microsoft.com/office/drawing/2014/main" id="{0A96B7DE-480A-40D4-8898-936180B4ECF0}"/>
            </a:ext>
          </a:extLst>
        </xdr:cNvPr>
        <xdr:cNvSpPr/>
      </xdr:nvSpPr>
      <xdr:spPr>
        <a:xfrm>
          <a:off x="0" y="9526"/>
          <a:ext cx="12430125" cy="681990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0</xdr:row>
      <xdr:rowOff>47624</xdr:rowOff>
    </xdr:from>
    <xdr:to>
      <xdr:col>20</xdr:col>
      <xdr:colOff>152400</xdr:colOff>
      <xdr:row>35</xdr:row>
      <xdr:rowOff>38099</xdr:rowOff>
    </xdr:to>
    <xdr:sp macro="" textlink="">
      <xdr:nvSpPr>
        <xdr:cNvPr id="3" name="Rectangle 2">
          <a:extLst>
            <a:ext uri="{FF2B5EF4-FFF2-40B4-BE49-F238E27FC236}">
              <a16:creationId xmlns:a16="http://schemas.microsoft.com/office/drawing/2014/main" id="{34A51A09-A814-4937-A3B8-CE0FED8FD294}"/>
            </a:ext>
          </a:extLst>
        </xdr:cNvPr>
        <xdr:cNvSpPr/>
      </xdr:nvSpPr>
      <xdr:spPr>
        <a:xfrm>
          <a:off x="1905000" y="47624"/>
          <a:ext cx="10439400" cy="66579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361950</xdr:colOff>
      <xdr:row>11</xdr:row>
      <xdr:rowOff>114300</xdr:rowOff>
    </xdr:from>
    <xdr:to>
      <xdr:col>4</xdr:col>
      <xdr:colOff>304800</xdr:colOff>
      <xdr:row>14</xdr:row>
      <xdr:rowOff>95250</xdr:rowOff>
    </xdr:to>
    <xdr:pic>
      <xdr:nvPicPr>
        <xdr:cNvPr id="7" name="Graphic 6" descr="Bar chart with solid fill">
          <a:extLst>
            <a:ext uri="{FF2B5EF4-FFF2-40B4-BE49-F238E27FC236}">
              <a16:creationId xmlns:a16="http://schemas.microsoft.com/office/drawing/2014/main" id="{565B2A87-671B-4389-AAC4-163825FAE8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0" y="2209800"/>
          <a:ext cx="552450" cy="552450"/>
        </a:xfrm>
        <a:prstGeom prst="rect">
          <a:avLst/>
        </a:prstGeom>
      </xdr:spPr>
    </xdr:pic>
    <xdr:clientData/>
  </xdr:twoCellAnchor>
  <xdr:twoCellAnchor>
    <xdr:from>
      <xdr:col>3</xdr:col>
      <xdr:colOff>171450</xdr:colOff>
      <xdr:row>14</xdr:row>
      <xdr:rowOff>85725</xdr:rowOff>
    </xdr:from>
    <xdr:to>
      <xdr:col>11</xdr:col>
      <xdr:colOff>152400</xdr:colOff>
      <xdr:row>35</xdr:row>
      <xdr:rowOff>0</xdr:rowOff>
    </xdr:to>
    <xdr:sp macro="" textlink="">
      <xdr:nvSpPr>
        <xdr:cNvPr id="8" name="Rectangle 7">
          <a:extLst>
            <a:ext uri="{FF2B5EF4-FFF2-40B4-BE49-F238E27FC236}">
              <a16:creationId xmlns:a16="http://schemas.microsoft.com/office/drawing/2014/main" id="{1CB5EEE7-8FBF-4A70-A694-3B0D272C0B66}"/>
            </a:ext>
          </a:extLst>
        </xdr:cNvPr>
        <xdr:cNvSpPr/>
      </xdr:nvSpPr>
      <xdr:spPr>
        <a:xfrm>
          <a:off x="2000250" y="2752725"/>
          <a:ext cx="4857750" cy="391477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390525</xdr:colOff>
      <xdr:row>25</xdr:row>
      <xdr:rowOff>0</xdr:rowOff>
    </xdr:from>
    <xdr:to>
      <xdr:col>20</xdr:col>
      <xdr:colOff>57150</xdr:colOff>
      <xdr:row>35</xdr:row>
      <xdr:rowOff>9525</xdr:rowOff>
    </xdr:to>
    <xdr:sp macro="" textlink="">
      <xdr:nvSpPr>
        <xdr:cNvPr id="9" name="Rectangle 8">
          <a:extLst>
            <a:ext uri="{FF2B5EF4-FFF2-40B4-BE49-F238E27FC236}">
              <a16:creationId xmlns:a16="http://schemas.microsoft.com/office/drawing/2014/main" id="{BB906AB1-0DD4-48D8-8B4C-864076FB22D6}"/>
            </a:ext>
          </a:extLst>
        </xdr:cNvPr>
        <xdr:cNvSpPr/>
      </xdr:nvSpPr>
      <xdr:spPr>
        <a:xfrm>
          <a:off x="7096125" y="4762500"/>
          <a:ext cx="5153025" cy="191452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381000</xdr:colOff>
      <xdr:row>14</xdr:row>
      <xdr:rowOff>104775</xdr:rowOff>
    </xdr:from>
    <xdr:to>
      <xdr:col>20</xdr:col>
      <xdr:colOff>47625</xdr:colOff>
      <xdr:row>24</xdr:row>
      <xdr:rowOff>66675</xdr:rowOff>
    </xdr:to>
    <xdr:sp macro="" textlink="">
      <xdr:nvSpPr>
        <xdr:cNvPr id="10" name="Rectangle 9">
          <a:extLst>
            <a:ext uri="{FF2B5EF4-FFF2-40B4-BE49-F238E27FC236}">
              <a16:creationId xmlns:a16="http://schemas.microsoft.com/office/drawing/2014/main" id="{8B07D73C-B118-4179-8D70-F57446BE245B}"/>
            </a:ext>
          </a:extLst>
        </xdr:cNvPr>
        <xdr:cNvSpPr/>
      </xdr:nvSpPr>
      <xdr:spPr>
        <a:xfrm>
          <a:off x="7086600" y="2771775"/>
          <a:ext cx="5153025" cy="186690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38100</xdr:colOff>
      <xdr:row>7</xdr:row>
      <xdr:rowOff>38100</xdr:rowOff>
    </xdr:from>
    <xdr:to>
      <xdr:col>3</xdr:col>
      <xdr:colOff>9525</xdr:colOff>
      <xdr:row>10</xdr:row>
      <xdr:rowOff>85725</xdr:rowOff>
    </xdr:to>
    <xdr:sp macro="" textlink="">
      <xdr:nvSpPr>
        <xdr:cNvPr id="11" name="Flowchart: Terminator 10">
          <a:hlinkClick xmlns:r="http://schemas.openxmlformats.org/officeDocument/2006/relationships" r:id="rId3"/>
          <a:extLst>
            <a:ext uri="{FF2B5EF4-FFF2-40B4-BE49-F238E27FC236}">
              <a16:creationId xmlns:a16="http://schemas.microsoft.com/office/drawing/2014/main" id="{290A27FB-69C9-4251-A6BA-322715F202DF}"/>
            </a:ext>
          </a:extLst>
        </xdr:cNvPr>
        <xdr:cNvSpPr/>
      </xdr:nvSpPr>
      <xdr:spPr>
        <a:xfrm>
          <a:off x="38100" y="137160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38100</xdr:colOff>
      <xdr:row>11</xdr:row>
      <xdr:rowOff>85725</xdr:rowOff>
    </xdr:from>
    <xdr:to>
      <xdr:col>3</xdr:col>
      <xdr:colOff>9525</xdr:colOff>
      <xdr:row>14</xdr:row>
      <xdr:rowOff>133350</xdr:rowOff>
    </xdr:to>
    <xdr:sp macro="" textlink="">
      <xdr:nvSpPr>
        <xdr:cNvPr id="12" name="Flowchart: Terminator 11">
          <a:hlinkClick xmlns:r="http://schemas.openxmlformats.org/officeDocument/2006/relationships" r:id="rId4"/>
          <a:extLst>
            <a:ext uri="{FF2B5EF4-FFF2-40B4-BE49-F238E27FC236}">
              <a16:creationId xmlns:a16="http://schemas.microsoft.com/office/drawing/2014/main" id="{7B3EAF9A-2D90-4006-8D2B-B709937F2659}"/>
            </a:ext>
          </a:extLst>
        </xdr:cNvPr>
        <xdr:cNvSpPr/>
      </xdr:nvSpPr>
      <xdr:spPr>
        <a:xfrm>
          <a:off x="38100" y="2181225"/>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38100</xdr:colOff>
      <xdr:row>15</xdr:row>
      <xdr:rowOff>161925</xdr:rowOff>
    </xdr:from>
    <xdr:to>
      <xdr:col>3</xdr:col>
      <xdr:colOff>9525</xdr:colOff>
      <xdr:row>19</xdr:row>
      <xdr:rowOff>19050</xdr:rowOff>
    </xdr:to>
    <xdr:sp macro="" textlink="">
      <xdr:nvSpPr>
        <xdr:cNvPr id="13" name="Flowchart: Terminator 12">
          <a:extLst>
            <a:ext uri="{FF2B5EF4-FFF2-40B4-BE49-F238E27FC236}">
              <a16:creationId xmlns:a16="http://schemas.microsoft.com/office/drawing/2014/main" id="{584F6DD3-4C01-4352-940C-B9EE3A4F7F78}"/>
            </a:ext>
          </a:extLst>
        </xdr:cNvPr>
        <xdr:cNvSpPr/>
      </xdr:nvSpPr>
      <xdr:spPr>
        <a:xfrm>
          <a:off x="38100" y="3019425"/>
          <a:ext cx="1800225" cy="619125"/>
        </a:xfrm>
        <a:prstGeom prst="flowChartTerminator">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20</xdr:row>
      <xdr:rowOff>38100</xdr:rowOff>
    </xdr:from>
    <xdr:to>
      <xdr:col>2</xdr:col>
      <xdr:colOff>581025</xdr:colOff>
      <xdr:row>23</xdr:row>
      <xdr:rowOff>85725</xdr:rowOff>
    </xdr:to>
    <xdr:sp macro="" textlink="">
      <xdr:nvSpPr>
        <xdr:cNvPr id="14" name="Flowchart: Terminator 13">
          <a:hlinkClick xmlns:r="http://schemas.openxmlformats.org/officeDocument/2006/relationships" r:id="rId5"/>
          <a:extLst>
            <a:ext uri="{FF2B5EF4-FFF2-40B4-BE49-F238E27FC236}">
              <a16:creationId xmlns:a16="http://schemas.microsoft.com/office/drawing/2014/main" id="{6BC8A2CD-576C-450B-9B2A-412BE8E85303}"/>
            </a:ext>
          </a:extLst>
        </xdr:cNvPr>
        <xdr:cNvSpPr/>
      </xdr:nvSpPr>
      <xdr:spPr>
        <a:xfrm>
          <a:off x="0" y="384810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8</xdr:row>
      <xdr:rowOff>19050</xdr:rowOff>
    </xdr:from>
    <xdr:to>
      <xdr:col>2</xdr:col>
      <xdr:colOff>419100</xdr:colOff>
      <xdr:row>9</xdr:row>
      <xdr:rowOff>142875</xdr:rowOff>
    </xdr:to>
    <xdr:sp macro="" textlink="">
      <xdr:nvSpPr>
        <xdr:cNvPr id="15" name="TextBox 14">
          <a:extLst>
            <a:ext uri="{FF2B5EF4-FFF2-40B4-BE49-F238E27FC236}">
              <a16:creationId xmlns:a16="http://schemas.microsoft.com/office/drawing/2014/main" id="{6BAC2442-E679-4EA4-81AB-502399D12F97}"/>
            </a:ext>
          </a:extLst>
        </xdr:cNvPr>
        <xdr:cNvSpPr txBox="1"/>
      </xdr:nvSpPr>
      <xdr:spPr>
        <a:xfrm>
          <a:off x="228600" y="154305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DASHBOARD</a:t>
          </a:r>
        </a:p>
      </xdr:txBody>
    </xdr:sp>
    <xdr:clientData/>
  </xdr:twoCellAnchor>
  <xdr:twoCellAnchor>
    <xdr:from>
      <xdr:col>0</xdr:col>
      <xdr:colOff>266700</xdr:colOff>
      <xdr:row>12</xdr:row>
      <xdr:rowOff>19051</xdr:rowOff>
    </xdr:from>
    <xdr:to>
      <xdr:col>2</xdr:col>
      <xdr:colOff>304800</xdr:colOff>
      <xdr:row>13</xdr:row>
      <xdr:rowOff>171451</xdr:rowOff>
    </xdr:to>
    <xdr:sp macro="" textlink="">
      <xdr:nvSpPr>
        <xdr:cNvPr id="16" name="TextBox 15">
          <a:extLst>
            <a:ext uri="{FF2B5EF4-FFF2-40B4-BE49-F238E27FC236}">
              <a16:creationId xmlns:a16="http://schemas.microsoft.com/office/drawing/2014/main" id="{5197DBF3-1944-4A39-BAD6-82566AB31AF8}"/>
            </a:ext>
          </a:extLst>
        </xdr:cNvPr>
        <xdr:cNvSpPr txBox="1"/>
      </xdr:nvSpPr>
      <xdr:spPr>
        <a:xfrm>
          <a:off x="266700" y="2305051"/>
          <a:ext cx="1257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latin typeface="+mn-lt"/>
              <a:ea typeface="+mn-ea"/>
              <a:cs typeface="+mn-cs"/>
            </a:rPr>
            <a:t>PRODUCTS</a:t>
          </a:r>
        </a:p>
        <a:p>
          <a:endParaRPr lang="en-US" sz="1100"/>
        </a:p>
      </xdr:txBody>
    </xdr:sp>
    <xdr:clientData/>
  </xdr:twoCellAnchor>
  <xdr:twoCellAnchor>
    <xdr:from>
      <xdr:col>0</xdr:col>
      <xdr:colOff>190500</xdr:colOff>
      <xdr:row>16</xdr:row>
      <xdr:rowOff>95251</xdr:rowOff>
    </xdr:from>
    <xdr:to>
      <xdr:col>2</xdr:col>
      <xdr:colOff>523875</xdr:colOff>
      <xdr:row>18</xdr:row>
      <xdr:rowOff>57151</xdr:rowOff>
    </xdr:to>
    <xdr:sp macro="" textlink="">
      <xdr:nvSpPr>
        <xdr:cNvPr id="17" name="TextBox 16">
          <a:extLst>
            <a:ext uri="{FF2B5EF4-FFF2-40B4-BE49-F238E27FC236}">
              <a16:creationId xmlns:a16="http://schemas.microsoft.com/office/drawing/2014/main" id="{390B58F6-DCFE-40EF-B65E-C4EF326B255C}"/>
            </a:ext>
          </a:extLst>
        </xdr:cNvPr>
        <xdr:cNvSpPr txBox="1"/>
      </xdr:nvSpPr>
      <xdr:spPr>
        <a:xfrm>
          <a:off x="190500" y="3143251"/>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n-lt"/>
              <a:ea typeface="+mn-ea"/>
              <a:cs typeface="+mn-cs"/>
            </a:rPr>
            <a:t>SALESPEOPLE</a:t>
          </a:r>
        </a:p>
      </xdr:txBody>
    </xdr:sp>
    <xdr:clientData/>
  </xdr:twoCellAnchor>
  <xdr:twoCellAnchor>
    <xdr:from>
      <xdr:col>0</xdr:col>
      <xdr:colOff>114301</xdr:colOff>
      <xdr:row>21</xdr:row>
      <xdr:rowOff>0</xdr:rowOff>
    </xdr:from>
    <xdr:to>
      <xdr:col>2</xdr:col>
      <xdr:colOff>400051</xdr:colOff>
      <xdr:row>22</xdr:row>
      <xdr:rowOff>171450</xdr:rowOff>
    </xdr:to>
    <xdr:sp macro="" textlink="">
      <xdr:nvSpPr>
        <xdr:cNvPr id="18" name="TextBox 17">
          <a:extLst>
            <a:ext uri="{FF2B5EF4-FFF2-40B4-BE49-F238E27FC236}">
              <a16:creationId xmlns:a16="http://schemas.microsoft.com/office/drawing/2014/main" id="{F1A50809-BD07-43A8-8DB1-7F25B436D7F6}"/>
            </a:ext>
          </a:extLst>
        </xdr:cNvPr>
        <xdr:cNvSpPr txBox="1"/>
      </xdr:nvSpPr>
      <xdr:spPr>
        <a:xfrm>
          <a:off x="114301" y="4000500"/>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ABOUT PAGE</a:t>
          </a:r>
        </a:p>
      </xdr:txBody>
    </xdr:sp>
    <xdr:clientData/>
  </xdr:twoCellAnchor>
  <xdr:twoCellAnchor>
    <xdr:from>
      <xdr:col>4</xdr:col>
      <xdr:colOff>342900</xdr:colOff>
      <xdr:row>12</xdr:row>
      <xdr:rowOff>104775</xdr:rowOff>
    </xdr:from>
    <xdr:to>
      <xdr:col>7</xdr:col>
      <xdr:colOff>304800</xdr:colOff>
      <xdr:row>14</xdr:row>
      <xdr:rowOff>142875</xdr:rowOff>
    </xdr:to>
    <xdr:sp macro="" textlink="">
      <xdr:nvSpPr>
        <xdr:cNvPr id="19" name="TextBox 18">
          <a:extLst>
            <a:ext uri="{FF2B5EF4-FFF2-40B4-BE49-F238E27FC236}">
              <a16:creationId xmlns:a16="http://schemas.microsoft.com/office/drawing/2014/main" id="{F817BDB3-8638-46C2-8A16-D4E5C2B50EDC}"/>
            </a:ext>
          </a:extLst>
        </xdr:cNvPr>
        <xdr:cNvSpPr txBox="1"/>
      </xdr:nvSpPr>
      <xdr:spPr>
        <a:xfrm>
          <a:off x="2781300" y="2390775"/>
          <a:ext cx="17907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ANALYTICS</a:t>
          </a:r>
        </a:p>
      </xdr:txBody>
    </xdr:sp>
    <xdr:clientData/>
  </xdr:twoCellAnchor>
  <xdr:twoCellAnchor>
    <xdr:from>
      <xdr:col>3</xdr:col>
      <xdr:colOff>352423</xdr:colOff>
      <xdr:row>15</xdr:row>
      <xdr:rowOff>19050</xdr:rowOff>
    </xdr:from>
    <xdr:to>
      <xdr:col>9</xdr:col>
      <xdr:colOff>142874</xdr:colOff>
      <xdr:row>17</xdr:row>
      <xdr:rowOff>57150</xdr:rowOff>
    </xdr:to>
    <xdr:sp macro="" textlink="">
      <xdr:nvSpPr>
        <xdr:cNvPr id="20" name="TextBox 19">
          <a:extLst>
            <a:ext uri="{FF2B5EF4-FFF2-40B4-BE49-F238E27FC236}">
              <a16:creationId xmlns:a16="http://schemas.microsoft.com/office/drawing/2014/main" id="{B13FDEF7-6C8F-48E1-BD5F-D054D98F842F}"/>
            </a:ext>
          </a:extLst>
        </xdr:cNvPr>
        <xdr:cNvSpPr txBox="1"/>
      </xdr:nvSpPr>
      <xdr:spPr>
        <a:xfrm>
          <a:off x="2181223" y="2876550"/>
          <a:ext cx="34480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Revenue by salespeople</a:t>
          </a:r>
        </a:p>
      </xdr:txBody>
    </xdr:sp>
    <xdr:clientData/>
  </xdr:twoCellAnchor>
  <xdr:twoCellAnchor editAs="oneCell">
    <xdr:from>
      <xdr:col>0</xdr:col>
      <xdr:colOff>76200</xdr:colOff>
      <xdr:row>1</xdr:row>
      <xdr:rowOff>28575</xdr:rowOff>
    </xdr:from>
    <xdr:to>
      <xdr:col>2</xdr:col>
      <xdr:colOff>495408</xdr:colOff>
      <xdr:row>6</xdr:row>
      <xdr:rowOff>9525</xdr:rowOff>
    </xdr:to>
    <xdr:pic>
      <xdr:nvPicPr>
        <xdr:cNvPr id="21" name="Picture 20">
          <a:extLst>
            <a:ext uri="{FF2B5EF4-FFF2-40B4-BE49-F238E27FC236}">
              <a16:creationId xmlns:a16="http://schemas.microsoft.com/office/drawing/2014/main" id="{6A0876F3-E11B-43D5-B6AE-1571D7D0D04D}"/>
            </a:ext>
          </a:extLst>
        </xdr:cNvPr>
        <xdr:cNvPicPr>
          <a:picLocks noChangeAspect="1"/>
        </xdr:cNvPicPr>
      </xdr:nvPicPr>
      <xdr:blipFill rotWithShape="1">
        <a:blip xmlns:r="http://schemas.openxmlformats.org/officeDocument/2006/relationships" r:embed="rId6"/>
        <a:srcRect l="9947"/>
        <a:stretch>
          <a:fillRect/>
        </a:stretch>
      </xdr:blipFill>
      <xdr:spPr>
        <a:xfrm>
          <a:off x="76200" y="219075"/>
          <a:ext cx="1638408" cy="933450"/>
        </a:xfrm>
        <a:prstGeom prst="rect">
          <a:avLst/>
        </a:prstGeom>
      </xdr:spPr>
    </xdr:pic>
    <xdr:clientData/>
  </xdr:twoCellAnchor>
  <xdr:twoCellAnchor>
    <xdr:from>
      <xdr:col>11</xdr:col>
      <xdr:colOff>514349</xdr:colOff>
      <xdr:row>24</xdr:row>
      <xdr:rowOff>123825</xdr:rowOff>
    </xdr:from>
    <xdr:to>
      <xdr:col>16</xdr:col>
      <xdr:colOff>581025</xdr:colOff>
      <xdr:row>26</xdr:row>
      <xdr:rowOff>161925</xdr:rowOff>
    </xdr:to>
    <xdr:sp macro="" textlink="">
      <xdr:nvSpPr>
        <xdr:cNvPr id="22" name="TextBox 21">
          <a:extLst>
            <a:ext uri="{FF2B5EF4-FFF2-40B4-BE49-F238E27FC236}">
              <a16:creationId xmlns:a16="http://schemas.microsoft.com/office/drawing/2014/main" id="{635CDA63-BB56-4500-9ADE-C702276BE523}"/>
            </a:ext>
          </a:extLst>
        </xdr:cNvPr>
        <xdr:cNvSpPr txBox="1"/>
      </xdr:nvSpPr>
      <xdr:spPr>
        <a:xfrm>
          <a:off x="7219949" y="4695825"/>
          <a:ext cx="31146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Bottom 3 </a:t>
          </a:r>
          <a:r>
            <a:rPr lang="en-US" sz="1800" b="1">
              <a:solidFill>
                <a:schemeClr val="dk1"/>
              </a:solidFill>
              <a:effectLst/>
              <a:latin typeface="+mn-lt"/>
              <a:ea typeface="+mn-ea"/>
              <a:cs typeface="+mn-cs"/>
            </a:rPr>
            <a:t>salespeople</a:t>
          </a:r>
          <a:endParaRPr lang="en-US" sz="1800" b="1"/>
        </a:p>
      </xdr:txBody>
    </xdr:sp>
    <xdr:clientData/>
  </xdr:twoCellAnchor>
  <xdr:twoCellAnchor>
    <xdr:from>
      <xdr:col>11</xdr:col>
      <xdr:colOff>485774</xdr:colOff>
      <xdr:row>14</xdr:row>
      <xdr:rowOff>95250</xdr:rowOff>
    </xdr:from>
    <xdr:to>
      <xdr:col>17</xdr:col>
      <xdr:colOff>19050</xdr:colOff>
      <xdr:row>16</xdr:row>
      <xdr:rowOff>133350</xdr:rowOff>
    </xdr:to>
    <xdr:sp macro="" textlink="">
      <xdr:nvSpPr>
        <xdr:cNvPr id="25" name="TextBox 24">
          <a:extLst>
            <a:ext uri="{FF2B5EF4-FFF2-40B4-BE49-F238E27FC236}">
              <a16:creationId xmlns:a16="http://schemas.microsoft.com/office/drawing/2014/main" id="{162E676B-6685-4EF7-A624-C5E2572E3B3A}"/>
            </a:ext>
          </a:extLst>
        </xdr:cNvPr>
        <xdr:cNvSpPr txBox="1"/>
      </xdr:nvSpPr>
      <xdr:spPr>
        <a:xfrm>
          <a:off x="7191374" y="2762250"/>
          <a:ext cx="31908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Top 3  salespeople</a:t>
          </a:r>
        </a:p>
      </xdr:txBody>
    </xdr:sp>
    <xdr:clientData/>
  </xdr:twoCellAnchor>
  <xdr:twoCellAnchor>
    <xdr:from>
      <xdr:col>11</xdr:col>
      <xdr:colOff>552450</xdr:colOff>
      <xdr:row>16</xdr:row>
      <xdr:rowOff>161925</xdr:rowOff>
    </xdr:from>
    <xdr:to>
      <xdr:col>19</xdr:col>
      <xdr:colOff>495300</xdr:colOff>
      <xdr:row>23</xdr:row>
      <xdr:rowOff>38100</xdr:rowOff>
    </xdr:to>
    <xdr:graphicFrame macro="">
      <xdr:nvGraphicFramePr>
        <xdr:cNvPr id="26" name="Chart 25">
          <a:extLst>
            <a:ext uri="{FF2B5EF4-FFF2-40B4-BE49-F238E27FC236}">
              <a16:creationId xmlns:a16="http://schemas.microsoft.com/office/drawing/2014/main" id="{962B3B9C-99FC-470D-ADA5-D3E098A69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47624</xdr:colOff>
      <xdr:row>26</xdr:row>
      <xdr:rowOff>104775</xdr:rowOff>
    </xdr:from>
    <xdr:to>
      <xdr:col>19</xdr:col>
      <xdr:colOff>495299</xdr:colOff>
      <xdr:row>33</xdr:row>
      <xdr:rowOff>152400</xdr:rowOff>
    </xdr:to>
    <xdr:graphicFrame macro="">
      <xdr:nvGraphicFramePr>
        <xdr:cNvPr id="27" name="Chart 26">
          <a:extLst>
            <a:ext uri="{FF2B5EF4-FFF2-40B4-BE49-F238E27FC236}">
              <a16:creationId xmlns:a16="http://schemas.microsoft.com/office/drawing/2014/main" id="{F095B80B-7AE6-4ADA-97C9-4DE87135E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200024</xdr:colOff>
      <xdr:row>0</xdr:row>
      <xdr:rowOff>104774</xdr:rowOff>
    </xdr:from>
    <xdr:to>
      <xdr:col>16</xdr:col>
      <xdr:colOff>133349</xdr:colOff>
      <xdr:row>7</xdr:row>
      <xdr:rowOff>104775</xdr:rowOff>
    </xdr:to>
    <mc:AlternateContent xmlns:mc="http://schemas.openxmlformats.org/markup-compatibility/2006" xmlns:tsle="http://schemas.microsoft.com/office/drawing/2012/timeslicer">
      <mc:Choice Requires="tsle">
        <xdr:graphicFrame macro="">
          <xdr:nvGraphicFramePr>
            <xdr:cNvPr id="28" name="Date 4">
              <a:extLst>
                <a:ext uri="{FF2B5EF4-FFF2-40B4-BE49-F238E27FC236}">
                  <a16:creationId xmlns:a16="http://schemas.microsoft.com/office/drawing/2014/main" id="{066CB3CE-528E-4080-A5DA-0CC261AD65BB}"/>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28824" y="104774"/>
              <a:ext cx="7858125" cy="13335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409575</xdr:colOff>
      <xdr:row>17</xdr:row>
      <xdr:rowOff>123824</xdr:rowOff>
    </xdr:from>
    <xdr:to>
      <xdr:col>11</xdr:col>
      <xdr:colOff>57150</xdr:colOff>
      <xdr:row>34</xdr:row>
      <xdr:rowOff>38099</xdr:rowOff>
    </xdr:to>
    <xdr:graphicFrame macro="">
      <xdr:nvGraphicFramePr>
        <xdr:cNvPr id="29" name="Chart 28">
          <a:extLst>
            <a:ext uri="{FF2B5EF4-FFF2-40B4-BE49-F238E27FC236}">
              <a16:creationId xmlns:a16="http://schemas.microsoft.com/office/drawing/2014/main" id="{3012E8BE-D07A-44FD-9F56-A779F219C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276225</xdr:colOff>
      <xdr:row>0</xdr:row>
      <xdr:rowOff>133351</xdr:rowOff>
    </xdr:from>
    <xdr:to>
      <xdr:col>20</xdr:col>
      <xdr:colOff>85725</xdr:colOff>
      <xdr:row>7</xdr:row>
      <xdr:rowOff>133351</xdr:rowOff>
    </xdr:to>
    <mc:AlternateContent xmlns:mc="http://schemas.openxmlformats.org/markup-compatibility/2006" xmlns:a14="http://schemas.microsoft.com/office/drawing/2010/main">
      <mc:Choice Requires="a14">
        <xdr:graphicFrame macro="">
          <xdr:nvGraphicFramePr>
            <xdr:cNvPr id="30" name="Region 5">
              <a:extLst>
                <a:ext uri="{FF2B5EF4-FFF2-40B4-BE49-F238E27FC236}">
                  <a16:creationId xmlns:a16="http://schemas.microsoft.com/office/drawing/2014/main" id="{31F30720-128D-4999-8366-7BFE1D6F7288}"/>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0029825" y="133351"/>
              <a:ext cx="22479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219076</xdr:colOff>
      <xdr:row>8</xdr:row>
      <xdr:rowOff>47625</xdr:rowOff>
    </xdr:from>
    <xdr:to>
      <xdr:col>20</xdr:col>
      <xdr:colOff>95250</xdr:colOff>
      <xdr:row>11</xdr:row>
      <xdr:rowOff>104775</xdr:rowOff>
    </xdr:to>
    <mc:AlternateContent xmlns:mc="http://schemas.openxmlformats.org/markup-compatibility/2006" xmlns:a14="http://schemas.microsoft.com/office/drawing/2010/main">
      <mc:Choice Requires="a14">
        <xdr:graphicFrame macro="">
          <xdr:nvGraphicFramePr>
            <xdr:cNvPr id="31" name="Item 1">
              <a:extLst>
                <a:ext uri="{FF2B5EF4-FFF2-40B4-BE49-F238E27FC236}">
                  <a16:creationId xmlns:a16="http://schemas.microsoft.com/office/drawing/2014/main" id="{54983271-B794-4824-92A2-63337677D732}"/>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47876" y="1571625"/>
              <a:ext cx="10239374"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9526</xdr:rowOff>
    </xdr:from>
    <xdr:to>
      <xdr:col>20</xdr:col>
      <xdr:colOff>238125</xdr:colOff>
      <xdr:row>35</xdr:row>
      <xdr:rowOff>161926</xdr:rowOff>
    </xdr:to>
    <xdr:sp macro="" textlink="">
      <xdr:nvSpPr>
        <xdr:cNvPr id="2" name="Rectangle 1">
          <a:extLst>
            <a:ext uri="{FF2B5EF4-FFF2-40B4-BE49-F238E27FC236}">
              <a16:creationId xmlns:a16="http://schemas.microsoft.com/office/drawing/2014/main" id="{190774B8-C8DD-4DA9-A22C-F8D4BB0EC0FA}"/>
            </a:ext>
          </a:extLst>
        </xdr:cNvPr>
        <xdr:cNvSpPr/>
      </xdr:nvSpPr>
      <xdr:spPr>
        <a:xfrm>
          <a:off x="0" y="9526"/>
          <a:ext cx="12430125" cy="681990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0</xdr:row>
      <xdr:rowOff>47624</xdr:rowOff>
    </xdr:from>
    <xdr:to>
      <xdr:col>20</xdr:col>
      <xdr:colOff>152400</xdr:colOff>
      <xdr:row>35</xdr:row>
      <xdr:rowOff>38099</xdr:rowOff>
    </xdr:to>
    <xdr:sp macro="" textlink="">
      <xdr:nvSpPr>
        <xdr:cNvPr id="3" name="Rectangle 2">
          <a:extLst>
            <a:ext uri="{FF2B5EF4-FFF2-40B4-BE49-F238E27FC236}">
              <a16:creationId xmlns:a16="http://schemas.microsoft.com/office/drawing/2014/main" id="{03BC7267-F19D-4B96-A773-1066EC610B59}"/>
            </a:ext>
          </a:extLst>
        </xdr:cNvPr>
        <xdr:cNvSpPr/>
      </xdr:nvSpPr>
      <xdr:spPr>
        <a:xfrm>
          <a:off x="1905000" y="47624"/>
          <a:ext cx="10439400" cy="66579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361950</xdr:colOff>
      <xdr:row>11</xdr:row>
      <xdr:rowOff>114300</xdr:rowOff>
    </xdr:from>
    <xdr:to>
      <xdr:col>4</xdr:col>
      <xdr:colOff>304800</xdr:colOff>
      <xdr:row>14</xdr:row>
      <xdr:rowOff>95250</xdr:rowOff>
    </xdr:to>
    <xdr:pic>
      <xdr:nvPicPr>
        <xdr:cNvPr id="4" name="Graphic 3" descr="Bar chart with solid fill">
          <a:extLst>
            <a:ext uri="{FF2B5EF4-FFF2-40B4-BE49-F238E27FC236}">
              <a16:creationId xmlns:a16="http://schemas.microsoft.com/office/drawing/2014/main" id="{AD681CFF-6F46-4C35-9159-2C742DC1C9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0" y="2209800"/>
          <a:ext cx="552450" cy="552450"/>
        </a:xfrm>
        <a:prstGeom prst="rect">
          <a:avLst/>
        </a:prstGeom>
      </xdr:spPr>
    </xdr:pic>
    <xdr:clientData/>
  </xdr:twoCellAnchor>
  <xdr:twoCellAnchor>
    <xdr:from>
      <xdr:col>3</xdr:col>
      <xdr:colOff>171449</xdr:colOff>
      <xdr:row>14</xdr:row>
      <xdr:rowOff>85725</xdr:rowOff>
    </xdr:from>
    <xdr:to>
      <xdr:col>20</xdr:col>
      <xdr:colOff>28574</xdr:colOff>
      <xdr:row>35</xdr:row>
      <xdr:rowOff>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4FCCD95D-ECBC-461B-96FF-9934C240F118}"/>
            </a:ext>
          </a:extLst>
        </xdr:cNvPr>
        <xdr:cNvSpPr/>
      </xdr:nvSpPr>
      <xdr:spPr>
        <a:xfrm>
          <a:off x="2000249" y="2752725"/>
          <a:ext cx="10220325" cy="391477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38100</xdr:colOff>
      <xdr:row>7</xdr:row>
      <xdr:rowOff>38100</xdr:rowOff>
    </xdr:from>
    <xdr:to>
      <xdr:col>3</xdr:col>
      <xdr:colOff>9525</xdr:colOff>
      <xdr:row>10</xdr:row>
      <xdr:rowOff>85725</xdr:rowOff>
    </xdr:to>
    <xdr:sp macro="" textlink="">
      <xdr:nvSpPr>
        <xdr:cNvPr id="8" name="Flowchart: Terminator 7">
          <a:hlinkClick xmlns:r="http://schemas.openxmlformats.org/officeDocument/2006/relationships" r:id="rId4"/>
          <a:extLst>
            <a:ext uri="{FF2B5EF4-FFF2-40B4-BE49-F238E27FC236}">
              <a16:creationId xmlns:a16="http://schemas.microsoft.com/office/drawing/2014/main" id="{C36F7BD0-C97D-49D3-AB79-5A7FC6EF356C}"/>
            </a:ext>
          </a:extLst>
        </xdr:cNvPr>
        <xdr:cNvSpPr/>
      </xdr:nvSpPr>
      <xdr:spPr>
        <a:xfrm>
          <a:off x="38100" y="1371600"/>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38100</xdr:colOff>
      <xdr:row>11</xdr:row>
      <xdr:rowOff>85725</xdr:rowOff>
    </xdr:from>
    <xdr:to>
      <xdr:col>3</xdr:col>
      <xdr:colOff>9525</xdr:colOff>
      <xdr:row>14</xdr:row>
      <xdr:rowOff>133350</xdr:rowOff>
    </xdr:to>
    <xdr:sp macro="" textlink="">
      <xdr:nvSpPr>
        <xdr:cNvPr id="9" name="Flowchart: Terminator 8">
          <a:hlinkClick xmlns:r="http://schemas.openxmlformats.org/officeDocument/2006/relationships" r:id="rId5"/>
          <a:extLst>
            <a:ext uri="{FF2B5EF4-FFF2-40B4-BE49-F238E27FC236}">
              <a16:creationId xmlns:a16="http://schemas.microsoft.com/office/drawing/2014/main" id="{51AE98A1-62D2-4A2C-BF88-3EADA576306F}"/>
            </a:ext>
          </a:extLst>
        </xdr:cNvPr>
        <xdr:cNvSpPr/>
      </xdr:nvSpPr>
      <xdr:spPr>
        <a:xfrm>
          <a:off x="38100" y="2181225"/>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38100</xdr:colOff>
      <xdr:row>15</xdr:row>
      <xdr:rowOff>161925</xdr:rowOff>
    </xdr:from>
    <xdr:to>
      <xdr:col>3</xdr:col>
      <xdr:colOff>9525</xdr:colOff>
      <xdr:row>19</xdr:row>
      <xdr:rowOff>19050</xdr:rowOff>
    </xdr:to>
    <xdr:sp macro="" textlink="">
      <xdr:nvSpPr>
        <xdr:cNvPr id="10" name="Flowchart: Terminator 9">
          <a:hlinkClick xmlns:r="http://schemas.openxmlformats.org/officeDocument/2006/relationships" r:id="rId6"/>
          <a:extLst>
            <a:ext uri="{FF2B5EF4-FFF2-40B4-BE49-F238E27FC236}">
              <a16:creationId xmlns:a16="http://schemas.microsoft.com/office/drawing/2014/main" id="{C18619A3-86E4-4A44-BF51-D58331113DD8}"/>
            </a:ext>
          </a:extLst>
        </xdr:cNvPr>
        <xdr:cNvSpPr/>
      </xdr:nvSpPr>
      <xdr:spPr>
        <a:xfrm>
          <a:off x="38100" y="3019425"/>
          <a:ext cx="1800225" cy="619125"/>
        </a:xfrm>
        <a:prstGeom prst="flowChartTerminator">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20</xdr:row>
      <xdr:rowOff>38100</xdr:rowOff>
    </xdr:from>
    <xdr:to>
      <xdr:col>2</xdr:col>
      <xdr:colOff>581025</xdr:colOff>
      <xdr:row>23</xdr:row>
      <xdr:rowOff>85725</xdr:rowOff>
    </xdr:to>
    <xdr:sp macro="" textlink="">
      <xdr:nvSpPr>
        <xdr:cNvPr id="11" name="Flowchart: Terminator 10">
          <a:extLst>
            <a:ext uri="{FF2B5EF4-FFF2-40B4-BE49-F238E27FC236}">
              <a16:creationId xmlns:a16="http://schemas.microsoft.com/office/drawing/2014/main" id="{4805F911-351E-4CCD-9E9F-C51BDFF6F4F6}"/>
            </a:ext>
          </a:extLst>
        </xdr:cNvPr>
        <xdr:cNvSpPr/>
      </xdr:nvSpPr>
      <xdr:spPr>
        <a:xfrm>
          <a:off x="0" y="3848100"/>
          <a:ext cx="1800225" cy="619125"/>
        </a:xfrm>
        <a:prstGeom prst="flowChartTerminator">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228600</xdr:colOff>
      <xdr:row>8</xdr:row>
      <xdr:rowOff>19050</xdr:rowOff>
    </xdr:from>
    <xdr:to>
      <xdr:col>2</xdr:col>
      <xdr:colOff>419100</xdr:colOff>
      <xdr:row>9</xdr:row>
      <xdr:rowOff>142875</xdr:rowOff>
    </xdr:to>
    <xdr:sp macro="" textlink="">
      <xdr:nvSpPr>
        <xdr:cNvPr id="12" name="TextBox 11">
          <a:extLst>
            <a:ext uri="{FF2B5EF4-FFF2-40B4-BE49-F238E27FC236}">
              <a16:creationId xmlns:a16="http://schemas.microsoft.com/office/drawing/2014/main" id="{F6C5E97E-5325-40A7-975C-FEC88C175B09}"/>
            </a:ext>
          </a:extLst>
        </xdr:cNvPr>
        <xdr:cNvSpPr txBox="1"/>
      </xdr:nvSpPr>
      <xdr:spPr>
        <a:xfrm>
          <a:off x="228600" y="1543050"/>
          <a:ext cx="14097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DASHBOARD</a:t>
          </a:r>
        </a:p>
      </xdr:txBody>
    </xdr:sp>
    <xdr:clientData/>
  </xdr:twoCellAnchor>
  <xdr:twoCellAnchor>
    <xdr:from>
      <xdr:col>0</xdr:col>
      <xdr:colOff>266700</xdr:colOff>
      <xdr:row>12</xdr:row>
      <xdr:rowOff>19051</xdr:rowOff>
    </xdr:from>
    <xdr:to>
      <xdr:col>2</xdr:col>
      <xdr:colOff>304800</xdr:colOff>
      <xdr:row>13</xdr:row>
      <xdr:rowOff>171451</xdr:rowOff>
    </xdr:to>
    <xdr:sp macro="" textlink="">
      <xdr:nvSpPr>
        <xdr:cNvPr id="13" name="TextBox 12">
          <a:extLst>
            <a:ext uri="{FF2B5EF4-FFF2-40B4-BE49-F238E27FC236}">
              <a16:creationId xmlns:a16="http://schemas.microsoft.com/office/drawing/2014/main" id="{B439EEB2-D623-4298-8767-5746F0A18166}"/>
            </a:ext>
          </a:extLst>
        </xdr:cNvPr>
        <xdr:cNvSpPr txBox="1"/>
      </xdr:nvSpPr>
      <xdr:spPr>
        <a:xfrm>
          <a:off x="266700" y="2305051"/>
          <a:ext cx="1257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bg1"/>
              </a:solidFill>
              <a:latin typeface="+mn-lt"/>
              <a:ea typeface="+mn-ea"/>
              <a:cs typeface="+mn-cs"/>
            </a:rPr>
            <a:t>PRODUCTS</a:t>
          </a:r>
        </a:p>
        <a:p>
          <a:endParaRPr lang="en-US" sz="1100"/>
        </a:p>
      </xdr:txBody>
    </xdr:sp>
    <xdr:clientData/>
  </xdr:twoCellAnchor>
  <xdr:twoCellAnchor>
    <xdr:from>
      <xdr:col>0</xdr:col>
      <xdr:colOff>190500</xdr:colOff>
      <xdr:row>16</xdr:row>
      <xdr:rowOff>95251</xdr:rowOff>
    </xdr:from>
    <xdr:to>
      <xdr:col>2</xdr:col>
      <xdr:colOff>523875</xdr:colOff>
      <xdr:row>18</xdr:row>
      <xdr:rowOff>57151</xdr:rowOff>
    </xdr:to>
    <xdr:sp macro="" textlink="">
      <xdr:nvSpPr>
        <xdr:cNvPr id="14" name="TextBox 13">
          <a:extLst>
            <a:ext uri="{FF2B5EF4-FFF2-40B4-BE49-F238E27FC236}">
              <a16:creationId xmlns:a16="http://schemas.microsoft.com/office/drawing/2014/main" id="{F26E6DA3-A19E-4495-90DD-F4C0939A3D8A}"/>
            </a:ext>
          </a:extLst>
        </xdr:cNvPr>
        <xdr:cNvSpPr txBox="1"/>
      </xdr:nvSpPr>
      <xdr:spPr>
        <a:xfrm>
          <a:off x="190500" y="3143251"/>
          <a:ext cx="15525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ea typeface="+mn-ea"/>
              <a:cs typeface="+mn-cs"/>
            </a:rPr>
            <a:t>SALESPEOPLE</a:t>
          </a:r>
        </a:p>
      </xdr:txBody>
    </xdr:sp>
    <xdr:clientData/>
  </xdr:twoCellAnchor>
  <xdr:twoCellAnchor>
    <xdr:from>
      <xdr:col>0</xdr:col>
      <xdr:colOff>114301</xdr:colOff>
      <xdr:row>21</xdr:row>
      <xdr:rowOff>0</xdr:rowOff>
    </xdr:from>
    <xdr:to>
      <xdr:col>2</xdr:col>
      <xdr:colOff>400051</xdr:colOff>
      <xdr:row>22</xdr:row>
      <xdr:rowOff>171450</xdr:rowOff>
    </xdr:to>
    <xdr:sp macro="" textlink="">
      <xdr:nvSpPr>
        <xdr:cNvPr id="15" name="TextBox 14">
          <a:extLst>
            <a:ext uri="{FF2B5EF4-FFF2-40B4-BE49-F238E27FC236}">
              <a16:creationId xmlns:a16="http://schemas.microsoft.com/office/drawing/2014/main" id="{916F204E-E41E-4BEE-ADA6-03128E8BD0F9}"/>
            </a:ext>
          </a:extLst>
        </xdr:cNvPr>
        <xdr:cNvSpPr txBox="1"/>
      </xdr:nvSpPr>
      <xdr:spPr>
        <a:xfrm>
          <a:off x="114301" y="4000500"/>
          <a:ext cx="15049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mn-lt"/>
              <a:ea typeface="+mn-ea"/>
              <a:cs typeface="+mn-cs"/>
            </a:rPr>
            <a:t>ABOUT PAGE</a:t>
          </a:r>
        </a:p>
      </xdr:txBody>
    </xdr:sp>
    <xdr:clientData/>
  </xdr:twoCellAnchor>
  <xdr:twoCellAnchor>
    <xdr:from>
      <xdr:col>4</xdr:col>
      <xdr:colOff>342900</xdr:colOff>
      <xdr:row>12</xdr:row>
      <xdr:rowOff>104775</xdr:rowOff>
    </xdr:from>
    <xdr:to>
      <xdr:col>7</xdr:col>
      <xdr:colOff>304800</xdr:colOff>
      <xdr:row>14</xdr:row>
      <xdr:rowOff>142875</xdr:rowOff>
    </xdr:to>
    <xdr:sp macro="" textlink="">
      <xdr:nvSpPr>
        <xdr:cNvPr id="16" name="TextBox 15">
          <a:extLst>
            <a:ext uri="{FF2B5EF4-FFF2-40B4-BE49-F238E27FC236}">
              <a16:creationId xmlns:a16="http://schemas.microsoft.com/office/drawing/2014/main" id="{ECACA966-CBAD-4C2E-AB64-0996D9387724}"/>
            </a:ext>
          </a:extLst>
        </xdr:cNvPr>
        <xdr:cNvSpPr txBox="1"/>
      </xdr:nvSpPr>
      <xdr:spPr>
        <a:xfrm>
          <a:off x="2781300" y="2390775"/>
          <a:ext cx="17907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ANALYTICS</a:t>
          </a:r>
        </a:p>
      </xdr:txBody>
    </xdr:sp>
    <xdr:clientData/>
  </xdr:twoCellAnchor>
  <xdr:twoCellAnchor>
    <xdr:from>
      <xdr:col>3</xdr:col>
      <xdr:colOff>380998</xdr:colOff>
      <xdr:row>14</xdr:row>
      <xdr:rowOff>171450</xdr:rowOff>
    </xdr:from>
    <xdr:to>
      <xdr:col>9</xdr:col>
      <xdr:colOff>171449</xdr:colOff>
      <xdr:row>17</xdr:row>
      <xdr:rowOff>19050</xdr:rowOff>
    </xdr:to>
    <xdr:sp macro="" textlink="">
      <xdr:nvSpPr>
        <xdr:cNvPr id="17" name="TextBox 16">
          <a:extLst>
            <a:ext uri="{FF2B5EF4-FFF2-40B4-BE49-F238E27FC236}">
              <a16:creationId xmlns:a16="http://schemas.microsoft.com/office/drawing/2014/main" id="{CD07B983-62F3-4F12-B1BE-435AD51ABAFF}"/>
            </a:ext>
          </a:extLst>
        </xdr:cNvPr>
        <xdr:cNvSpPr txBox="1"/>
      </xdr:nvSpPr>
      <xdr:spPr>
        <a:xfrm>
          <a:off x="2209798" y="2838450"/>
          <a:ext cx="3448051"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Project has</a:t>
          </a:r>
          <a:r>
            <a:rPr lang="en-US" sz="2000" b="1" baseline="0"/>
            <a:t> been made by:</a:t>
          </a:r>
          <a:endParaRPr lang="en-US" sz="2000" b="1"/>
        </a:p>
      </xdr:txBody>
    </xdr:sp>
    <xdr:clientData/>
  </xdr:twoCellAnchor>
  <xdr:twoCellAnchor editAs="oneCell">
    <xdr:from>
      <xdr:col>0</xdr:col>
      <xdr:colOff>76200</xdr:colOff>
      <xdr:row>1</xdr:row>
      <xdr:rowOff>28575</xdr:rowOff>
    </xdr:from>
    <xdr:to>
      <xdr:col>2</xdr:col>
      <xdr:colOff>495408</xdr:colOff>
      <xdr:row>6</xdr:row>
      <xdr:rowOff>9525</xdr:rowOff>
    </xdr:to>
    <xdr:pic>
      <xdr:nvPicPr>
        <xdr:cNvPr id="18" name="Picture 17">
          <a:extLst>
            <a:ext uri="{FF2B5EF4-FFF2-40B4-BE49-F238E27FC236}">
              <a16:creationId xmlns:a16="http://schemas.microsoft.com/office/drawing/2014/main" id="{9CFD5DB5-E0B1-43A1-A013-3708DF5E05C0}"/>
            </a:ext>
          </a:extLst>
        </xdr:cNvPr>
        <xdr:cNvPicPr>
          <a:picLocks noChangeAspect="1"/>
        </xdr:cNvPicPr>
      </xdr:nvPicPr>
      <xdr:blipFill rotWithShape="1">
        <a:blip xmlns:r="http://schemas.openxmlformats.org/officeDocument/2006/relationships" r:embed="rId7"/>
        <a:srcRect l="9947"/>
        <a:stretch>
          <a:fillRect/>
        </a:stretch>
      </xdr:blipFill>
      <xdr:spPr>
        <a:xfrm>
          <a:off x="76200" y="219075"/>
          <a:ext cx="1638408" cy="933450"/>
        </a:xfrm>
        <a:prstGeom prst="rect">
          <a:avLst/>
        </a:prstGeom>
      </xdr:spPr>
    </xdr:pic>
    <xdr:clientData/>
  </xdr:twoCellAnchor>
  <xdr:twoCellAnchor>
    <xdr:from>
      <xdr:col>3</xdr:col>
      <xdr:colOff>419100</xdr:colOff>
      <xdr:row>17</xdr:row>
      <xdr:rowOff>9525</xdr:rowOff>
    </xdr:from>
    <xdr:to>
      <xdr:col>14</xdr:col>
      <xdr:colOff>333375</xdr:colOff>
      <xdr:row>20</xdr:row>
      <xdr:rowOff>38100</xdr:rowOff>
    </xdr:to>
    <xdr:sp macro="" textlink="">
      <xdr:nvSpPr>
        <xdr:cNvPr id="28" name="TextBox 27">
          <a:extLst>
            <a:ext uri="{FF2B5EF4-FFF2-40B4-BE49-F238E27FC236}">
              <a16:creationId xmlns:a16="http://schemas.microsoft.com/office/drawing/2014/main" id="{8291B868-6981-C751-BC2F-3F14D18AD40F}"/>
            </a:ext>
          </a:extLst>
        </xdr:cNvPr>
        <xdr:cNvSpPr txBox="1"/>
      </xdr:nvSpPr>
      <xdr:spPr>
        <a:xfrm>
          <a:off x="2247900" y="3248025"/>
          <a:ext cx="6619875"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Ishan Dutta,</a:t>
          </a:r>
          <a:r>
            <a:rPr lang="en-US" sz="1600" b="1" baseline="0"/>
            <a:t> who is working under analytics career connect </a:t>
          </a:r>
          <a:endParaRPr lang="en-US" sz="1600" b="1"/>
        </a:p>
        <a:p>
          <a:endParaRPr lang="en-US" sz="1100"/>
        </a:p>
      </xdr:txBody>
    </xdr:sp>
    <xdr:clientData/>
  </xdr:twoCellAnchor>
  <xdr:twoCellAnchor editAs="oneCell">
    <xdr:from>
      <xdr:col>16</xdr:col>
      <xdr:colOff>248478</xdr:colOff>
      <xdr:row>16</xdr:row>
      <xdr:rowOff>108709</xdr:rowOff>
    </xdr:from>
    <xdr:to>
      <xdr:col>18</xdr:col>
      <xdr:colOff>143909</xdr:colOff>
      <xdr:row>22</xdr:row>
      <xdr:rowOff>82465</xdr:rowOff>
    </xdr:to>
    <xdr:pic>
      <xdr:nvPicPr>
        <xdr:cNvPr id="30" name="Picture 29">
          <a:hlinkClick xmlns:r="http://schemas.openxmlformats.org/officeDocument/2006/relationships" r:id="rId8"/>
          <a:extLst>
            <a:ext uri="{FF2B5EF4-FFF2-40B4-BE49-F238E27FC236}">
              <a16:creationId xmlns:a16="http://schemas.microsoft.com/office/drawing/2014/main" id="{151A8AA2-4B62-A4D1-28DE-475FDD0AFDD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055087" y="3156709"/>
          <a:ext cx="1121257" cy="111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513522</xdr:colOff>
      <xdr:row>23</xdr:row>
      <xdr:rowOff>49696</xdr:rowOff>
    </xdr:from>
    <xdr:to>
      <xdr:col>8</xdr:col>
      <xdr:colOff>91109</xdr:colOff>
      <xdr:row>29</xdr:row>
      <xdr:rowOff>115957</xdr:rowOff>
    </xdr:to>
    <xdr:sp macro="" textlink="">
      <xdr:nvSpPr>
        <xdr:cNvPr id="31" name="TextBox 30">
          <a:hlinkClick xmlns:r="http://schemas.openxmlformats.org/officeDocument/2006/relationships" r:id="rId10"/>
          <a:extLst>
            <a:ext uri="{FF2B5EF4-FFF2-40B4-BE49-F238E27FC236}">
              <a16:creationId xmlns:a16="http://schemas.microsoft.com/office/drawing/2014/main" id="{F291E568-0FE3-DB87-6D82-0F84285CC7AA}"/>
            </a:ext>
          </a:extLst>
        </xdr:cNvPr>
        <xdr:cNvSpPr txBox="1"/>
      </xdr:nvSpPr>
      <xdr:spPr>
        <a:xfrm>
          <a:off x="2352261" y="4431196"/>
          <a:ext cx="2642152" cy="1209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Inspired</a:t>
          </a:r>
          <a:r>
            <a:rPr lang="en-US" sz="1100" baseline="0"/>
            <a:t> by and I give full credits to:</a:t>
          </a:r>
        </a:p>
        <a:p>
          <a:r>
            <a:rPr lang="en-US" sz="1100" baseline="0"/>
            <a:t>Deepak Eduworld </a:t>
          </a:r>
        </a:p>
        <a:p>
          <a:r>
            <a:rPr lang="en-US" sz="1100" baseline="0"/>
            <a:t>Link to channel :</a:t>
          </a:r>
        </a:p>
        <a:p>
          <a:r>
            <a:rPr lang="en-US" sz="1100" baseline="0"/>
            <a:t>https://www.youtube.com/watch?v=dU0Ptpiu_Kw&amp;list=PLVevUWkXP6J1eoMIFt5k9LxnIC3H1-doq</a:t>
          </a:r>
        </a:p>
      </xdr:txBody>
    </xdr:sp>
    <xdr:clientData/>
  </xdr:twoCellAnchor>
  <xdr:twoCellAnchor>
    <xdr:from>
      <xdr:col>9</xdr:col>
      <xdr:colOff>41413</xdr:colOff>
      <xdr:row>22</xdr:row>
      <xdr:rowOff>182217</xdr:rowOff>
    </xdr:from>
    <xdr:to>
      <xdr:col>13</xdr:col>
      <xdr:colOff>546652</xdr:colOff>
      <xdr:row>29</xdr:row>
      <xdr:rowOff>115957</xdr:rowOff>
    </xdr:to>
    <xdr:sp macro="" textlink="">
      <xdr:nvSpPr>
        <xdr:cNvPr id="32" name="TextBox 31">
          <a:hlinkClick xmlns:r="http://schemas.openxmlformats.org/officeDocument/2006/relationships" r:id="rId11"/>
          <a:extLst>
            <a:ext uri="{FF2B5EF4-FFF2-40B4-BE49-F238E27FC236}">
              <a16:creationId xmlns:a16="http://schemas.microsoft.com/office/drawing/2014/main" id="{1F9B7DBF-F324-EE92-30CA-4A4C73CD48AF}"/>
            </a:ext>
          </a:extLst>
        </xdr:cNvPr>
        <xdr:cNvSpPr txBox="1"/>
      </xdr:nvSpPr>
      <xdr:spPr>
        <a:xfrm>
          <a:off x="5557630" y="4373217"/>
          <a:ext cx="2956892" cy="126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Additional credits and mentorship goes to:</a:t>
          </a:r>
        </a:p>
        <a:p>
          <a:r>
            <a:rPr lang="en-US" sz="1100"/>
            <a:t>Wasim Patwari</a:t>
          </a:r>
        </a:p>
        <a:p>
          <a:r>
            <a:rPr lang="en-US" sz="1100"/>
            <a:t>Analytics Career Connect:</a:t>
          </a:r>
        </a:p>
        <a:p>
          <a:r>
            <a:rPr lang="en-US" sz="1100"/>
            <a:t>Follow</a:t>
          </a:r>
          <a:r>
            <a:rPr lang="en-US" sz="1100" baseline="0"/>
            <a:t> insta page:</a:t>
          </a:r>
        </a:p>
        <a:p>
          <a:r>
            <a:rPr lang="en-US" sz="1100" baseline="0"/>
            <a:t>https://www.instagram.com/its_wasimhere/</a:t>
          </a:r>
        </a:p>
      </xdr:txBody>
    </xdr:sp>
    <xdr:clientData/>
  </xdr:twoCellAnchor>
  <xdr:twoCellAnchor editAs="oneCell">
    <xdr:from>
      <xdr:col>16</xdr:col>
      <xdr:colOff>244336</xdr:colOff>
      <xdr:row>22</xdr:row>
      <xdr:rowOff>185117</xdr:rowOff>
    </xdr:from>
    <xdr:to>
      <xdr:col>18</xdr:col>
      <xdr:colOff>248478</xdr:colOff>
      <xdr:row>29</xdr:row>
      <xdr:rowOff>149088</xdr:rowOff>
    </xdr:to>
    <xdr:pic>
      <xdr:nvPicPr>
        <xdr:cNvPr id="33" name="Picture 32">
          <a:hlinkClick xmlns:r="http://schemas.openxmlformats.org/officeDocument/2006/relationships" r:id="rId3"/>
          <a:extLst>
            <a:ext uri="{FF2B5EF4-FFF2-40B4-BE49-F238E27FC236}">
              <a16:creationId xmlns:a16="http://schemas.microsoft.com/office/drawing/2014/main" id="{DB58AA9E-700C-3CE7-B24A-FC22B7436353}"/>
            </a:ext>
          </a:extLst>
        </xdr:cNvPr>
        <xdr:cNvPicPr>
          <a:picLocks noChangeAspect="1"/>
        </xdr:cNvPicPr>
      </xdr:nvPicPr>
      <xdr:blipFill>
        <a:blip xmlns:r="http://schemas.openxmlformats.org/officeDocument/2006/relationships" r:embed="rId12"/>
        <a:stretch>
          <a:fillRect/>
        </a:stretch>
      </xdr:blipFill>
      <xdr:spPr>
        <a:xfrm>
          <a:off x="10050945" y="4376117"/>
          <a:ext cx="1229968" cy="1297471"/>
        </a:xfrm>
        <a:prstGeom prst="rect">
          <a:avLst/>
        </a:prstGeom>
      </xdr:spPr>
    </xdr:pic>
    <xdr:clientData/>
  </xdr:twoCellAnchor>
  <xdr:twoCellAnchor editAs="oneCell">
    <xdr:from>
      <xdr:col>3</xdr:col>
      <xdr:colOff>198783</xdr:colOff>
      <xdr:row>0</xdr:row>
      <xdr:rowOff>165653</xdr:rowOff>
    </xdr:from>
    <xdr:to>
      <xdr:col>19</xdr:col>
      <xdr:colOff>604630</xdr:colOff>
      <xdr:row>10</xdr:row>
      <xdr:rowOff>182218</xdr:rowOff>
    </xdr:to>
    <xdr:pic>
      <xdr:nvPicPr>
        <xdr:cNvPr id="34" name="Picture 33">
          <a:extLst>
            <a:ext uri="{FF2B5EF4-FFF2-40B4-BE49-F238E27FC236}">
              <a16:creationId xmlns:a16="http://schemas.microsoft.com/office/drawing/2014/main" id="{21F96677-7C1B-0278-5ECB-D24A8858CFE8}"/>
            </a:ext>
          </a:extLst>
        </xdr:cNvPr>
        <xdr:cNvPicPr>
          <a:picLocks noChangeAspect="1"/>
        </xdr:cNvPicPr>
      </xdr:nvPicPr>
      <xdr:blipFill>
        <a:blip xmlns:r="http://schemas.openxmlformats.org/officeDocument/2006/relationships" r:embed="rId13"/>
        <a:stretch>
          <a:fillRect/>
        </a:stretch>
      </xdr:blipFill>
      <xdr:spPr>
        <a:xfrm>
          <a:off x="2037522" y="165653"/>
          <a:ext cx="10212456" cy="192156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 refreshedDate="46008.558511921299" createdVersion="8" refreshedVersion="8" minRefreshableVersion="3" recordCount="366" xr:uid="{7784C504-45D9-44F4-9A1A-F0614FC953E4}">
  <cacheSource type="worksheet">
    <worksheetSource name="Table1"/>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1622161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3BD6F4-BB32-4380-B6D7-A6FAB321D38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A83:B9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sortType="ascending">
      <items count="7">
        <item x="0"/>
        <item x="3"/>
        <item x="4"/>
        <item x="2"/>
        <item x="1"/>
        <item x="5"/>
        <item t="default"/>
      </items>
    </pivotField>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1"/>
    </i>
    <i>
      <x v="4"/>
    </i>
    <i>
      <x v="2"/>
    </i>
    <i>
      <x v="5"/>
    </i>
    <i>
      <x/>
    </i>
    <i t="grand">
      <x/>
    </i>
  </rowItems>
  <colItems count="1">
    <i/>
  </colItems>
  <dataFields count="1">
    <dataField name="Average of Qty" fld="5" subtotal="average" baseField="4" baseItem="3" numFmtId="2"/>
  </dataFields>
  <formats count="2">
    <format dxfId="400">
      <pivotArea outline="0" collapsedLevelsAreSubtotals="1" fieldPosition="0"/>
    </format>
    <format dxfId="399">
      <pivotArea dataOnly="0" labelOnly="1" outline="0" axis="axisValues" fieldPosition="0"/>
    </format>
  </formats>
  <chartFormats count="13">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63E08-741A-416F-98B6-FE9ABF39E97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1:B2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formats count="1">
    <format dxfId="40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72BE0F-6042-4917-8842-81B81760330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A76:B8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Qty" fld="5" baseField="0" baseItem="0" numFmtId="164"/>
  </dataFields>
  <formats count="1">
    <format dxfId="402">
      <pivotArea outline="0" collapsedLevelsAreSubtotals="1" fieldPosition="0"/>
    </format>
  </formats>
  <chartFormats count="14">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5"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DC1644-3A79-4A97-8756-C4DFA248B15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30:B3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164"/>
  </dataFields>
  <formats count="1">
    <format dxfId="403">
      <pivotArea outline="0" collapsedLevelsAreSubtotals="1" fieldPosition="0"/>
    </format>
  </formats>
  <chartFormats count="4">
    <chartFormat chart="33" format="11"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7A68EE-D24D-45AE-BA4F-211569D182B8}"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A66:B7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4"/>
    </i>
    <i>
      <x/>
    </i>
    <i>
      <x v="5"/>
    </i>
    <i t="grand">
      <x/>
    </i>
  </rowItems>
  <colItems count="1">
    <i/>
  </colItems>
  <dataFields count="1">
    <dataField name="Sum of Qty" fld="5" baseField="0" baseItem="0" numFmtId="164"/>
  </dataFields>
  <formats count="1">
    <format dxfId="404">
      <pivotArea outline="0" collapsedLevelsAreSubtotals="1" fieldPosition="0"/>
    </format>
  </formats>
  <chartFormats count="14">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DA17FC-37B1-4C3D-81BD-754A24B8FA0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48:B5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items count="7">
        <item x="4"/>
        <item x="3"/>
        <item x="1"/>
        <item x="0"/>
        <item x="2"/>
        <item x="5"/>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2"/>
    </i>
    <i>
      <x v="3"/>
    </i>
    <i>
      <x v="4"/>
    </i>
    <i t="grand">
      <x/>
    </i>
  </rowItems>
  <colItems count="1">
    <i/>
  </colItems>
  <dataFields count="1">
    <dataField name="Sum of Qty" fld="5" baseField="0" baseItem="0" numFmtId="164"/>
  </dataFields>
  <formats count="1">
    <format dxfId="405">
      <pivotArea outline="0" collapsedLevelsAreSubtotals="1" fieldPosition="0"/>
    </format>
  </formats>
  <chartFormats count="9">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55A780-1F38-4FAE-88AF-9E32991DF7B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4">
  <location ref="A93:B10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64"/>
  </dataFields>
  <formats count="1">
    <format dxfId="406">
      <pivotArea outline="0" collapsedLevelsAreSubtotals="1" fieldPosition="0"/>
    </format>
  </formats>
  <chartFormats count="2">
    <chartFormat chart="63"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F0F2DF-749C-4445-92E3-E0E0070CE06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A57:B6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5"/>
    </i>
    <i>
      <x v="4"/>
    </i>
    <i t="grand">
      <x/>
    </i>
  </rowItems>
  <colItems count="1">
    <i/>
  </colItems>
  <dataFields count="1">
    <dataField name="Sum of Qty" fld="5" baseField="0" baseItem="0" numFmtId="164"/>
  </dataFields>
  <formats count="1">
    <format dxfId="407">
      <pivotArea outline="0" collapsedLevelsAreSubtotals="1" fieldPosition="0"/>
    </format>
  </formats>
  <chartFormats count="12">
    <chartFormat chart="20"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4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D42197-A21D-4317-AE26-66ECE4C7492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1:A42"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5"/>
  </dataFields>
  <formats count="3">
    <format dxfId="410">
      <pivotArea type="all" dataOnly="0" outline="0" fieldPosition="0"/>
    </format>
    <format dxfId="409">
      <pivotArea dataOnly="0" labelOnly="1" outline="0" axis="axisValues" fieldPosition="0"/>
    </format>
    <format dxfId="408">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E2FE59-5123-49AF-B5D4-3066EBA9FAE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h="1" x="0"/>
        <item h="1" x="3"/>
        <item h="1" x="4"/>
        <item x="2"/>
        <item h="1" x="1"/>
        <item h="1"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formats count="1">
    <format dxfId="41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1019E0-1397-443D-87FF-6DA85951BD3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4:A4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3">
    <format dxfId="414">
      <pivotArea type="all" dataOnly="0" outline="0" fieldPosition="0"/>
    </format>
    <format dxfId="413">
      <pivotArea dataOnly="0" labelOnly="1" outline="0" axis="axisValues" fieldPosition="0"/>
    </format>
    <format dxfId="412">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CA9833-CAB3-4535-A640-65F3A886ED73}" sourceName="Region">
  <pivotTables>
    <pivotTable tabId="3" name="PivotTable1"/>
    <pivotTable tabId="3" name="PivotTable2"/>
    <pivotTable tabId="3" name="PivotTable3"/>
    <pivotTable tabId="3" name="PivotTable4"/>
    <pivotTable tabId="3" name="PivotTable5"/>
  </pivotTables>
  <data>
    <tabular pivotCacheId="162216152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16069D0F-9119-42EF-9CC5-27C2E2B44F33}" sourceName="Item">
  <pivotTables>
    <pivotTable tabId="3" name="PivotTable1"/>
    <pivotTable tabId="3" name="PivotTable2"/>
    <pivotTable tabId="3" name="PivotTable3"/>
    <pivotTable tabId="3" name="PivotTable4"/>
    <pivotTable tabId="3" name="PivotTable5"/>
  </pivotTables>
  <data>
    <tabular pivotCacheId="1622161529">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83DD73E8-652D-4BA4-BA99-F6FE45E9CC67}" sourceName="Salesman">
  <pivotTables>
    <pivotTable tabId="3" name="PivotTable5"/>
  </pivotTables>
  <data>
    <tabular pivotCacheId="1622161529">
      <items count="6">
        <i x="0" s="1"/>
        <i x="3" s="1"/>
        <i x="4"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A109C8F-1D14-460A-B29C-25475C2114F0}" sourceName="Region">
  <pivotTables>
    <pivotTable tabId="3" name="PivotTable6"/>
    <pivotTable tabId="3" name="PivotTable11"/>
    <pivotTable tabId="3" name="PivotTable12"/>
  </pivotTables>
  <data>
    <tabular pivotCacheId="1622161529">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B805A8DB-0A23-4154-9381-E1E51EFD047C}" sourceName="Item">
  <pivotTables>
    <pivotTable tabId="3" name="PivotTable6"/>
    <pivotTable tabId="3" name="PivotTable11"/>
    <pivotTable tabId="3" name="PivotTable12"/>
  </pivotTables>
  <data>
    <tabular pivotCacheId="1622161529">
      <items count="6">
        <i x="5" s="1"/>
        <i x="2" s="1"/>
        <i x="0" s="1"/>
        <i x="1"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1" xr10:uid="{6F8A440F-B4AD-4DEB-8381-DFC57374D38F}" sourceName="Salesman">
  <pivotTables>
    <pivotTable tabId="3" name="PivotTable9"/>
    <pivotTable tabId="3" name="PivotTable10"/>
    <pivotTable tabId="3" name="PivotTable7"/>
  </pivotTables>
  <data>
    <tabular pivotCacheId="1622161529">
      <items count="6">
        <i x="0" s="1"/>
        <i x="3" s="1"/>
        <i x="4" s="1"/>
        <i x="2" s="1"/>
        <i x="1"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4414041-E887-402A-864C-E6D6A96F8E8E}" sourceName="Region">
  <pivotTables>
    <pivotTable tabId="3" name="PivotTable10"/>
    <pivotTable tabId="3" name="PivotTable9"/>
    <pivotTable tabId="3" name="PivotTable7"/>
  </pivotTables>
  <data>
    <tabular pivotCacheId="1622161529">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FB43AD-4F4C-409F-9C08-94C86E6C8D0C}" cache="Slicer_Region" caption="Region" rowHeight="257175"/>
  <slicer name="Salesman" xr10:uid="{C4169DC3-3A39-4475-B473-C3E76CF37B74}" cache="Slicer_Salesman" caption="Salesman" columnCount="6" rowHeight="257175"/>
  <slicer name="Region 4" xr10:uid="{1FAC4B55-F491-4CB2-BB1D-1D262D8F602C}" cache="Slicer_Region1" caption="Region"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857CD8D-260F-486F-B80F-8960F1A0DE31}" cache="Slicer_Region" caption="Region" columnCount="2" rowHeight="365760"/>
  <slicer name="Item" xr10:uid="{3F840ABA-0505-4FAE-AECC-76D77C2BBC6C}" cache="Slicer_Item" caption="Item" columnCount="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2" xr10:uid="{9A3516F9-C83A-4855-9EDA-B568E28D9E25}" cache="Slicer_Salesman1" caption="Salesman" columnCount="6" rowHeight="257175"/>
  <slicer name="Region 2" xr10:uid="{2AD9456D-3B44-4F7A-9EB3-56134600D134}" cache="Slicer_Region2" caption="Region" columnCount="2"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1DF863F3-AC38-480B-B737-9B77C8CC4902}" cache="Slicer_Region1" caption="Region" columnCount="2" rowHeight="457200"/>
  <slicer name="Item 1" xr10:uid="{84298DD2-9937-46D1-BD4D-98D779DC8A89}" cache="Slicer_Item1" caption="Item" columnCoun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7B489C-BAA0-45B1-B157-054579982816}" name="Table2" displayName="Table2" ref="A3:H67" totalsRowShown="0">
  <autoFilter ref="A3:H67" xr:uid="{577B489C-BAA0-45B1-B157-054579982816}"/>
  <tableColumns count="8">
    <tableColumn id="1" xr3:uid="{96480742-52E6-4F79-A6A3-AFF1F911DBC4}" name="S No"/>
    <tableColumn id="2" xr3:uid="{16116CF4-0A0E-444F-83C0-ECEE9343B9AD}" name="Date" dataDxfId="425"/>
    <tableColumn id="3" xr3:uid="{A744D869-BF09-4439-B49C-92DC9768E23D}" name="Salesman"/>
    <tableColumn id="4" xr3:uid="{12060571-805B-4A10-AE64-E17B260A8B5D}" name="Region"/>
    <tableColumn id="5" xr3:uid="{8F22D70D-62A5-4B83-A8DB-D7AC0C6E8475}" name="Item"/>
    <tableColumn id="6" xr3:uid="{81D99C42-EC39-4D93-8AE0-576AD3F695EE}" name="Qty"/>
    <tableColumn id="7" xr3:uid="{1D2AB6FE-6044-4D6F-B105-E45CBD4D6223}" name="Price"/>
    <tableColumn id="8" xr3:uid="{C72AEE29-1D9E-4DCE-8256-44B020DBCA84}"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0994B9-80E4-47FB-9586-6433E65F19DE}" name="Table3" displayName="Table3" ref="A3:H37" totalsRowShown="0" headerRowDxfId="424" dataDxfId="423">
  <autoFilter ref="A3:H37" xr:uid="{DE0994B9-80E4-47FB-9586-6433E65F19DE}"/>
  <tableColumns count="8">
    <tableColumn id="1" xr3:uid="{CEE6CD37-FA92-45F4-AC76-7728C8DCBCC7}" name="S No" dataDxfId="422"/>
    <tableColumn id="2" xr3:uid="{BB31BC4E-3A96-403C-B808-C82A7EAB2FE3}" name="Date" dataDxfId="421"/>
    <tableColumn id="3" xr3:uid="{68453495-3CAF-49BE-BFB8-938865A96F24}" name="Salesman" dataDxfId="420"/>
    <tableColumn id="4" xr3:uid="{91A4D6DF-4A11-4ABC-8260-858F2A564D8D}" name="Region" dataDxfId="419"/>
    <tableColumn id="5" xr3:uid="{79E9BC15-BA7D-4B3B-AADD-33AF3B522DFC}" name="Item" dataDxfId="418"/>
    <tableColumn id="6" xr3:uid="{9D20D676-D84B-4954-8985-A80AC7AD4F8E}" name="Qty" dataDxfId="417"/>
    <tableColumn id="7" xr3:uid="{E13DA9B8-9B4E-42EF-8243-69E107572293}" name="Price" dataDxfId="416"/>
    <tableColumn id="8" xr3:uid="{01AC835B-B8EC-4E5D-8640-DE8BBA5F5FFB}" name="Amount" dataDxfId="4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5AE396-8B0F-4A61-80A5-A729EB3AD132}" name="Table1" displayName="Table1" ref="A1:H367" totalsRowShown="0" headerRowDxfId="398" headerRowBorderDxfId="397" tableBorderDxfId="396" totalsRowBorderDxfId="395">
  <autoFilter ref="A1:H367" xr:uid="{1E5AE396-8B0F-4A61-80A5-A729EB3AD132}"/>
  <tableColumns count="8">
    <tableColumn id="1" xr3:uid="{8F292A38-5244-40A5-B658-708C4CE62CEB}" name="S No" dataDxfId="394"/>
    <tableColumn id="2" xr3:uid="{FB635EEB-BE87-4D18-8292-AE38B99F0F59}" name="Date" dataDxfId="393"/>
    <tableColumn id="3" xr3:uid="{6440A35E-B1CA-42FC-97F6-5E042689735D}" name="Salesman" dataDxfId="392"/>
    <tableColumn id="4" xr3:uid="{77BA88DF-FF03-4601-92DE-7A6D70B8D041}" name="Region" dataDxfId="391"/>
    <tableColumn id="5" xr3:uid="{1BD77710-3B85-4BF2-922D-6A9B90025DC0}" name="Item" dataDxfId="390"/>
    <tableColumn id="6" xr3:uid="{22FAEB50-F496-4B08-A2D4-D88421C4F983}" name="Qty" dataDxfId="389"/>
    <tableColumn id="7" xr3:uid="{19335706-9913-41CC-A9FA-E788285EDF2E}" name="Price" dataDxfId="388"/>
    <tableColumn id="8" xr3:uid="{F724F038-2EE2-4DF1-8A16-E4FAD1BDA62D}" name="Amount" dataDxfId="387">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CB54408-1130-4128-8587-39C45B50908F}" sourceName="Date">
  <pivotTables>
    <pivotTable tabId="3" name="PivotTable1"/>
    <pivotTable tabId="3" name="PivotTable2"/>
    <pivotTable tabId="3" name="PivotTable3"/>
    <pivotTable tabId="3" name="PivotTable4"/>
    <pivotTable tabId="3" name="PivotTable5"/>
  </pivotTables>
  <state minimalRefreshVersion="6" lastRefreshVersion="6" pivotCacheId="1622161529" filterType="unknown">
    <bounds startDate="2021-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CC1D5DF7-A58A-42E6-B2B1-409D4FE1421B}" sourceName="Date">
  <pivotTables>
    <pivotTable tabId="3" name="PivotTable6"/>
    <pivotTable tabId="3" name="PivotTable11"/>
    <pivotTable tabId="3" name="PivotTable12"/>
  </pivotTables>
  <state minimalRefreshVersion="6" lastRefreshVersion="6" pivotCacheId="1622161529" filterType="unknown">
    <bounds startDate="2021-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8BBC87EB-CBA5-4DF6-B3CD-E8E544BFDE45}" sourceName="Date">
  <pivotTables>
    <pivotTable tabId="3" name="PivotTable7"/>
    <pivotTable tabId="3" name="PivotTable10"/>
    <pivotTable tabId="3" name="PivotTable9"/>
  </pivotTables>
  <state minimalRefreshVersion="6" lastRefreshVersion="6" pivotCacheId="162216152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B50164E-1BD9-4185-8ACE-BA2242CB77A0}" cache="NativeTimeline_Date" caption="Date" level="2" selectionLevel="2" scrollPosition="2021-01-01T00:00:00"/>
  <timeline name="Date 3" xr10:uid="{C067F90C-F657-4DE6-9920-83847E805A8E}" cache="NativeTimeline_Date2"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A2D3EF3-09D7-4582-8F40-A6C905F4C242}" cache="NativeTimeline_Date" caption="Date"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D63D92D-B1B4-46B4-AD7B-DAA3E161CD0F}" cache="NativeTimeline_Date2" caption="Date" level="2" selectionLevel="2" scrollPosition="2021-06-23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6EC6CD5A-9866-413D-983D-5578B0C63560}" cache="NativeTimeline_Date1" caption="Date" level="2" selectionLevel="2"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791A-AAAA-4E15-A12C-2D80BDC9AA45}">
  <dimension ref="A1:H67"/>
  <sheetViews>
    <sheetView workbookViewId="0">
      <selection activeCell="A3" sqref="A3:H67"/>
    </sheetView>
  </sheetViews>
  <sheetFormatPr defaultRowHeight="15" x14ac:dyDescent="0.25"/>
  <cols>
    <col min="1" max="1" width="9.28515625" bestFit="1" customWidth="1"/>
    <col min="2" max="2" width="10.42578125" bestFit="1" customWidth="1"/>
    <col min="3" max="3" width="12" bestFit="1" customWidth="1"/>
    <col min="4" max="4" width="9.5703125" bestFit="1" customWidth="1"/>
    <col min="5" max="7" width="9.28515625" bestFit="1" customWidth="1"/>
    <col min="8" max="8" width="10.28515625" bestFit="1" customWidth="1"/>
  </cols>
  <sheetData>
    <row r="1" spans="1:8" x14ac:dyDescent="0.25">
      <c r="A1" s="17" t="s">
        <v>39</v>
      </c>
    </row>
    <row r="3" spans="1:8" x14ac:dyDescent="0.25">
      <c r="A3" t="s">
        <v>0</v>
      </c>
      <c r="B3" t="s">
        <v>1</v>
      </c>
      <c r="C3" t="s">
        <v>2</v>
      </c>
      <c r="D3" t="s">
        <v>3</v>
      </c>
      <c r="E3" t="s">
        <v>4</v>
      </c>
      <c r="F3" t="s">
        <v>5</v>
      </c>
      <c r="G3" t="s">
        <v>6</v>
      </c>
      <c r="H3" t="s">
        <v>7</v>
      </c>
    </row>
    <row r="4" spans="1:8" x14ac:dyDescent="0.25">
      <c r="A4">
        <v>366</v>
      </c>
      <c r="B4" s="19">
        <v>44562</v>
      </c>
      <c r="C4" t="s">
        <v>11</v>
      </c>
      <c r="D4" t="s">
        <v>23</v>
      </c>
      <c r="E4" t="s">
        <v>17</v>
      </c>
      <c r="F4">
        <v>5</v>
      </c>
      <c r="G4">
        <v>1500</v>
      </c>
      <c r="H4">
        <v>7500</v>
      </c>
    </row>
    <row r="5" spans="1:8" x14ac:dyDescent="0.25">
      <c r="A5">
        <v>362</v>
      </c>
      <c r="B5" s="19">
        <v>44558</v>
      </c>
      <c r="C5" t="s">
        <v>11</v>
      </c>
      <c r="D5" t="s">
        <v>23</v>
      </c>
      <c r="E5" t="s">
        <v>13</v>
      </c>
      <c r="F5">
        <v>6</v>
      </c>
      <c r="G5">
        <v>2100</v>
      </c>
      <c r="H5">
        <v>12600</v>
      </c>
    </row>
    <row r="6" spans="1:8" x14ac:dyDescent="0.25">
      <c r="A6">
        <v>358</v>
      </c>
      <c r="B6" s="19">
        <v>44554</v>
      </c>
      <c r="C6" t="s">
        <v>8</v>
      </c>
      <c r="D6" t="s">
        <v>23</v>
      </c>
      <c r="E6" t="s">
        <v>13</v>
      </c>
      <c r="F6">
        <v>6</v>
      </c>
      <c r="G6">
        <v>2100</v>
      </c>
      <c r="H6">
        <v>12600</v>
      </c>
    </row>
    <row r="7" spans="1:8" x14ac:dyDescent="0.25">
      <c r="A7">
        <v>354</v>
      </c>
      <c r="B7" s="19">
        <v>44550</v>
      </c>
      <c r="C7" t="s">
        <v>8</v>
      </c>
      <c r="D7" t="s">
        <v>23</v>
      </c>
      <c r="E7" t="s">
        <v>17</v>
      </c>
      <c r="F7">
        <v>4</v>
      </c>
      <c r="G7">
        <v>1500</v>
      </c>
      <c r="H7">
        <v>6000</v>
      </c>
    </row>
    <row r="8" spans="1:8" x14ac:dyDescent="0.25">
      <c r="A8">
        <v>324</v>
      </c>
      <c r="B8" s="19">
        <v>44520</v>
      </c>
      <c r="C8" t="s">
        <v>20</v>
      </c>
      <c r="D8" t="s">
        <v>23</v>
      </c>
      <c r="E8" t="s">
        <v>10</v>
      </c>
      <c r="F8">
        <v>2</v>
      </c>
      <c r="G8">
        <v>210</v>
      </c>
      <c r="H8">
        <v>420</v>
      </c>
    </row>
    <row r="9" spans="1:8" x14ac:dyDescent="0.25">
      <c r="A9">
        <v>320</v>
      </c>
      <c r="B9" s="19">
        <v>44516</v>
      </c>
      <c r="C9" t="s">
        <v>20</v>
      </c>
      <c r="D9" t="s">
        <v>23</v>
      </c>
      <c r="E9" t="s">
        <v>10</v>
      </c>
      <c r="F9">
        <v>2</v>
      </c>
      <c r="G9">
        <v>210</v>
      </c>
      <c r="H9">
        <v>420</v>
      </c>
    </row>
    <row r="10" spans="1:8" x14ac:dyDescent="0.25">
      <c r="A10">
        <v>316</v>
      </c>
      <c r="B10" s="19">
        <v>44512</v>
      </c>
      <c r="C10" t="s">
        <v>20</v>
      </c>
      <c r="D10" t="s">
        <v>23</v>
      </c>
      <c r="E10" t="s">
        <v>21</v>
      </c>
      <c r="F10">
        <v>2</v>
      </c>
      <c r="G10">
        <v>190</v>
      </c>
      <c r="H10">
        <v>380</v>
      </c>
    </row>
    <row r="11" spans="1:8" x14ac:dyDescent="0.25">
      <c r="A11">
        <v>315</v>
      </c>
      <c r="B11" s="19">
        <v>44511</v>
      </c>
      <c r="C11" t="s">
        <v>18</v>
      </c>
      <c r="D11" t="s">
        <v>23</v>
      </c>
      <c r="E11" t="s">
        <v>21</v>
      </c>
      <c r="F11">
        <v>2</v>
      </c>
      <c r="G11">
        <v>190</v>
      </c>
      <c r="H11">
        <v>380</v>
      </c>
    </row>
    <row r="12" spans="1:8" x14ac:dyDescent="0.25">
      <c r="A12">
        <v>314</v>
      </c>
      <c r="B12" s="19">
        <v>44510</v>
      </c>
      <c r="C12" t="s">
        <v>16</v>
      </c>
      <c r="D12" t="s">
        <v>23</v>
      </c>
      <c r="E12" t="s">
        <v>21</v>
      </c>
      <c r="F12">
        <v>2</v>
      </c>
      <c r="G12">
        <v>190</v>
      </c>
      <c r="H12">
        <v>380</v>
      </c>
    </row>
    <row r="13" spans="1:8" x14ac:dyDescent="0.25">
      <c r="A13">
        <v>313</v>
      </c>
      <c r="B13" s="19">
        <v>44509</v>
      </c>
      <c r="C13" t="s">
        <v>14</v>
      </c>
      <c r="D13" t="s">
        <v>23</v>
      </c>
      <c r="E13" t="s">
        <v>21</v>
      </c>
      <c r="F13">
        <v>2</v>
      </c>
      <c r="G13">
        <v>190</v>
      </c>
      <c r="H13">
        <v>380</v>
      </c>
    </row>
    <row r="14" spans="1:8" x14ac:dyDescent="0.25">
      <c r="A14">
        <v>312</v>
      </c>
      <c r="B14" s="19">
        <v>44508</v>
      </c>
      <c r="C14" t="s">
        <v>11</v>
      </c>
      <c r="D14" t="s">
        <v>23</v>
      </c>
      <c r="E14" t="s">
        <v>21</v>
      </c>
      <c r="F14">
        <v>2</v>
      </c>
      <c r="G14">
        <v>190</v>
      </c>
      <c r="H14">
        <v>380</v>
      </c>
    </row>
    <row r="15" spans="1:8" x14ac:dyDescent="0.25">
      <c r="A15">
        <v>308</v>
      </c>
      <c r="B15" s="19">
        <v>44504</v>
      </c>
      <c r="C15" t="s">
        <v>11</v>
      </c>
      <c r="D15" t="s">
        <v>23</v>
      </c>
      <c r="E15" t="s">
        <v>21</v>
      </c>
      <c r="F15">
        <v>2</v>
      </c>
      <c r="G15">
        <v>190</v>
      </c>
      <c r="H15">
        <v>380</v>
      </c>
    </row>
    <row r="16" spans="1:8" x14ac:dyDescent="0.25">
      <c r="A16">
        <v>304</v>
      </c>
      <c r="B16" s="19">
        <v>44500</v>
      </c>
      <c r="C16" t="s">
        <v>8</v>
      </c>
      <c r="D16" t="s">
        <v>23</v>
      </c>
      <c r="E16" t="s">
        <v>17</v>
      </c>
      <c r="F16">
        <v>4</v>
      </c>
      <c r="G16">
        <v>1500</v>
      </c>
      <c r="H16">
        <v>6000</v>
      </c>
    </row>
    <row r="17" spans="1:8" x14ac:dyDescent="0.25">
      <c r="A17">
        <v>300</v>
      </c>
      <c r="B17" s="19">
        <v>44496</v>
      </c>
      <c r="C17" t="s">
        <v>8</v>
      </c>
      <c r="D17" t="s">
        <v>23</v>
      </c>
      <c r="E17" t="s">
        <v>19</v>
      </c>
      <c r="F17">
        <v>4</v>
      </c>
      <c r="G17">
        <v>300</v>
      </c>
      <c r="H17">
        <v>1200</v>
      </c>
    </row>
    <row r="18" spans="1:8" x14ac:dyDescent="0.25">
      <c r="A18">
        <v>270</v>
      </c>
      <c r="B18" s="19">
        <v>44466</v>
      </c>
      <c r="C18" t="s">
        <v>20</v>
      </c>
      <c r="D18" t="s">
        <v>23</v>
      </c>
      <c r="E18" t="s">
        <v>13</v>
      </c>
      <c r="F18">
        <v>7</v>
      </c>
      <c r="G18">
        <v>2100</v>
      </c>
      <c r="H18">
        <v>14700</v>
      </c>
    </row>
    <row r="19" spans="1:8" x14ac:dyDescent="0.25">
      <c r="A19">
        <v>266</v>
      </c>
      <c r="B19" s="19">
        <v>44462</v>
      </c>
      <c r="C19" t="s">
        <v>20</v>
      </c>
      <c r="D19" t="s">
        <v>23</v>
      </c>
      <c r="E19" t="s">
        <v>17</v>
      </c>
      <c r="F19">
        <v>5</v>
      </c>
      <c r="G19">
        <v>1500</v>
      </c>
      <c r="H19">
        <v>7500</v>
      </c>
    </row>
    <row r="20" spans="1:8" x14ac:dyDescent="0.25">
      <c r="A20">
        <v>262</v>
      </c>
      <c r="B20" s="19">
        <v>44458</v>
      </c>
      <c r="C20" t="s">
        <v>20</v>
      </c>
      <c r="D20" t="s">
        <v>23</v>
      </c>
      <c r="E20" t="s">
        <v>21</v>
      </c>
      <c r="F20">
        <v>2</v>
      </c>
      <c r="G20">
        <v>190</v>
      </c>
      <c r="H20">
        <v>380</v>
      </c>
    </row>
    <row r="21" spans="1:8" x14ac:dyDescent="0.25">
      <c r="A21">
        <v>261</v>
      </c>
      <c r="B21" s="19">
        <v>44457</v>
      </c>
      <c r="C21" t="s">
        <v>18</v>
      </c>
      <c r="D21" t="s">
        <v>23</v>
      </c>
      <c r="E21" t="s">
        <v>19</v>
      </c>
      <c r="F21">
        <v>3</v>
      </c>
      <c r="G21">
        <v>300</v>
      </c>
      <c r="H21">
        <v>900</v>
      </c>
    </row>
    <row r="22" spans="1:8" x14ac:dyDescent="0.25">
      <c r="A22">
        <v>260</v>
      </c>
      <c r="B22" s="19">
        <v>44456</v>
      </c>
      <c r="C22" t="s">
        <v>16</v>
      </c>
      <c r="D22" t="s">
        <v>23</v>
      </c>
      <c r="E22" t="s">
        <v>17</v>
      </c>
      <c r="F22">
        <v>4</v>
      </c>
      <c r="G22">
        <v>1500</v>
      </c>
      <c r="H22">
        <v>6000</v>
      </c>
    </row>
    <row r="23" spans="1:8" x14ac:dyDescent="0.25">
      <c r="A23">
        <v>259</v>
      </c>
      <c r="B23" s="19">
        <v>44455</v>
      </c>
      <c r="C23" t="s">
        <v>14</v>
      </c>
      <c r="D23" t="s">
        <v>23</v>
      </c>
      <c r="E23" t="s">
        <v>15</v>
      </c>
      <c r="F23">
        <v>5</v>
      </c>
      <c r="G23">
        <v>1200</v>
      </c>
      <c r="H23">
        <v>6000</v>
      </c>
    </row>
    <row r="24" spans="1:8" x14ac:dyDescent="0.25">
      <c r="A24">
        <v>258</v>
      </c>
      <c r="B24" s="19">
        <v>44454</v>
      </c>
      <c r="C24" t="s">
        <v>11</v>
      </c>
      <c r="D24" t="s">
        <v>23</v>
      </c>
      <c r="E24" t="s">
        <v>13</v>
      </c>
      <c r="F24">
        <v>6</v>
      </c>
      <c r="G24">
        <v>2100</v>
      </c>
      <c r="H24">
        <v>12600</v>
      </c>
    </row>
    <row r="25" spans="1:8" x14ac:dyDescent="0.25">
      <c r="A25">
        <v>254</v>
      </c>
      <c r="B25" s="19">
        <v>44450</v>
      </c>
      <c r="C25" t="s">
        <v>11</v>
      </c>
      <c r="D25" t="s">
        <v>23</v>
      </c>
      <c r="E25" t="s">
        <v>15</v>
      </c>
      <c r="F25">
        <v>6</v>
      </c>
      <c r="G25">
        <v>1200</v>
      </c>
      <c r="H25">
        <v>7200</v>
      </c>
    </row>
    <row r="26" spans="1:8" x14ac:dyDescent="0.25">
      <c r="A26">
        <v>250</v>
      </c>
      <c r="B26" s="19">
        <v>44446</v>
      </c>
      <c r="C26" t="s">
        <v>8</v>
      </c>
      <c r="D26" t="s">
        <v>23</v>
      </c>
      <c r="E26" t="s">
        <v>19</v>
      </c>
      <c r="F26">
        <v>3</v>
      </c>
      <c r="G26">
        <v>300</v>
      </c>
      <c r="H26">
        <v>900</v>
      </c>
    </row>
    <row r="27" spans="1:8" x14ac:dyDescent="0.25">
      <c r="A27">
        <v>246</v>
      </c>
      <c r="B27" s="19">
        <v>44442</v>
      </c>
      <c r="C27" t="s">
        <v>8</v>
      </c>
      <c r="D27" t="s">
        <v>23</v>
      </c>
      <c r="E27" t="s">
        <v>13</v>
      </c>
      <c r="F27">
        <v>7</v>
      </c>
      <c r="G27">
        <v>2100</v>
      </c>
      <c r="H27">
        <v>14700</v>
      </c>
    </row>
    <row r="28" spans="1:8" x14ac:dyDescent="0.25">
      <c r="A28">
        <v>216</v>
      </c>
      <c r="B28" s="19">
        <v>44412</v>
      </c>
      <c r="C28" t="s">
        <v>20</v>
      </c>
      <c r="D28" t="s">
        <v>23</v>
      </c>
      <c r="E28" t="s">
        <v>17</v>
      </c>
      <c r="F28">
        <v>5</v>
      </c>
      <c r="G28">
        <v>1500</v>
      </c>
      <c r="H28">
        <v>7500</v>
      </c>
    </row>
    <row r="29" spans="1:8" x14ac:dyDescent="0.25">
      <c r="A29">
        <v>212</v>
      </c>
      <c r="B29" s="19">
        <v>44408</v>
      </c>
      <c r="C29" t="s">
        <v>20</v>
      </c>
      <c r="D29" t="s">
        <v>23</v>
      </c>
      <c r="E29" t="s">
        <v>21</v>
      </c>
      <c r="F29">
        <v>2</v>
      </c>
      <c r="G29">
        <v>190</v>
      </c>
      <c r="H29">
        <v>380</v>
      </c>
    </row>
    <row r="30" spans="1:8" x14ac:dyDescent="0.25">
      <c r="A30">
        <v>208</v>
      </c>
      <c r="B30" s="19">
        <v>44404</v>
      </c>
      <c r="C30" t="s">
        <v>20</v>
      </c>
      <c r="D30" t="s">
        <v>23</v>
      </c>
      <c r="E30" t="s">
        <v>13</v>
      </c>
      <c r="F30">
        <v>6</v>
      </c>
      <c r="G30">
        <v>2100</v>
      </c>
      <c r="H30">
        <v>12600</v>
      </c>
    </row>
    <row r="31" spans="1:8" x14ac:dyDescent="0.25">
      <c r="A31">
        <v>207</v>
      </c>
      <c r="B31" s="19">
        <v>44403</v>
      </c>
      <c r="C31" t="s">
        <v>18</v>
      </c>
      <c r="D31" t="s">
        <v>23</v>
      </c>
      <c r="E31" t="s">
        <v>10</v>
      </c>
      <c r="F31">
        <v>7</v>
      </c>
      <c r="G31">
        <v>210</v>
      </c>
      <c r="H31">
        <v>1470</v>
      </c>
    </row>
    <row r="32" spans="1:8" x14ac:dyDescent="0.25">
      <c r="A32">
        <v>206</v>
      </c>
      <c r="B32" s="19">
        <v>44402</v>
      </c>
      <c r="C32" t="s">
        <v>16</v>
      </c>
      <c r="D32" t="s">
        <v>23</v>
      </c>
      <c r="E32" t="s">
        <v>21</v>
      </c>
      <c r="F32">
        <v>2</v>
      </c>
      <c r="G32">
        <v>190</v>
      </c>
      <c r="H32">
        <v>380</v>
      </c>
    </row>
    <row r="33" spans="1:8" x14ac:dyDescent="0.25">
      <c r="A33">
        <v>30</v>
      </c>
      <c r="B33" s="19">
        <v>44226</v>
      </c>
      <c r="C33" t="s">
        <v>8</v>
      </c>
      <c r="D33" t="s">
        <v>23</v>
      </c>
      <c r="E33" t="s">
        <v>10</v>
      </c>
      <c r="F33">
        <v>7</v>
      </c>
      <c r="G33">
        <v>210</v>
      </c>
      <c r="H33">
        <v>1470</v>
      </c>
    </row>
    <row r="34" spans="1:8" x14ac:dyDescent="0.25">
      <c r="A34">
        <v>205</v>
      </c>
      <c r="B34" s="19">
        <v>44401</v>
      </c>
      <c r="C34" t="s">
        <v>14</v>
      </c>
      <c r="D34" t="s">
        <v>23</v>
      </c>
      <c r="E34" t="s">
        <v>19</v>
      </c>
      <c r="F34">
        <v>3</v>
      </c>
      <c r="G34">
        <v>300</v>
      </c>
      <c r="H34">
        <v>900</v>
      </c>
    </row>
    <row r="35" spans="1:8" x14ac:dyDescent="0.25">
      <c r="A35">
        <v>204</v>
      </c>
      <c r="B35" s="19">
        <v>44400</v>
      </c>
      <c r="C35" t="s">
        <v>11</v>
      </c>
      <c r="D35" t="s">
        <v>23</v>
      </c>
      <c r="E35" t="s">
        <v>17</v>
      </c>
      <c r="F35">
        <v>4</v>
      </c>
      <c r="G35">
        <v>1500</v>
      </c>
      <c r="H35">
        <v>6000</v>
      </c>
    </row>
    <row r="36" spans="1:8" x14ac:dyDescent="0.25">
      <c r="A36">
        <v>200</v>
      </c>
      <c r="B36" s="19">
        <v>44396</v>
      </c>
      <c r="C36" t="s">
        <v>11</v>
      </c>
      <c r="D36" t="s">
        <v>23</v>
      </c>
      <c r="E36" t="s">
        <v>13</v>
      </c>
      <c r="F36">
        <v>2</v>
      </c>
      <c r="G36">
        <v>2100</v>
      </c>
      <c r="H36">
        <v>4200</v>
      </c>
    </row>
    <row r="37" spans="1:8" x14ac:dyDescent="0.25">
      <c r="A37">
        <v>34</v>
      </c>
      <c r="B37" s="19">
        <v>44230</v>
      </c>
      <c r="C37" t="s">
        <v>8</v>
      </c>
      <c r="D37" t="s">
        <v>23</v>
      </c>
      <c r="E37" t="s">
        <v>10</v>
      </c>
      <c r="F37">
        <v>7</v>
      </c>
      <c r="G37">
        <v>210</v>
      </c>
      <c r="H37">
        <v>1470</v>
      </c>
    </row>
    <row r="38" spans="1:8" x14ac:dyDescent="0.25">
      <c r="A38">
        <v>196</v>
      </c>
      <c r="B38" s="19">
        <v>44392</v>
      </c>
      <c r="C38" t="s">
        <v>8</v>
      </c>
      <c r="D38" t="s">
        <v>23</v>
      </c>
      <c r="E38" t="s">
        <v>17</v>
      </c>
      <c r="F38">
        <v>6</v>
      </c>
      <c r="G38">
        <v>1200</v>
      </c>
      <c r="H38">
        <v>7200</v>
      </c>
    </row>
    <row r="39" spans="1:8" x14ac:dyDescent="0.25">
      <c r="A39">
        <v>192</v>
      </c>
      <c r="B39" s="19">
        <v>44388</v>
      </c>
      <c r="C39" t="s">
        <v>8</v>
      </c>
      <c r="D39" t="s">
        <v>23</v>
      </c>
      <c r="E39" t="s">
        <v>19</v>
      </c>
      <c r="F39">
        <v>4</v>
      </c>
      <c r="G39">
        <v>300</v>
      </c>
      <c r="H39">
        <v>1200</v>
      </c>
    </row>
    <row r="40" spans="1:8" x14ac:dyDescent="0.25">
      <c r="A40">
        <v>162</v>
      </c>
      <c r="B40" s="19">
        <v>44358</v>
      </c>
      <c r="C40" t="s">
        <v>20</v>
      </c>
      <c r="D40" t="s">
        <v>23</v>
      </c>
      <c r="E40" t="s">
        <v>21</v>
      </c>
      <c r="F40">
        <v>2</v>
      </c>
      <c r="G40">
        <v>190</v>
      </c>
      <c r="H40">
        <v>380</v>
      </c>
    </row>
    <row r="41" spans="1:8" x14ac:dyDescent="0.25">
      <c r="A41">
        <v>38</v>
      </c>
      <c r="B41" s="19">
        <v>44234</v>
      </c>
      <c r="C41" t="s">
        <v>11</v>
      </c>
      <c r="D41" t="s">
        <v>23</v>
      </c>
      <c r="E41" t="s">
        <v>10</v>
      </c>
      <c r="F41">
        <v>2</v>
      </c>
      <c r="G41">
        <v>210</v>
      </c>
      <c r="H41">
        <v>420</v>
      </c>
    </row>
    <row r="42" spans="1:8" x14ac:dyDescent="0.25">
      <c r="A42">
        <v>158</v>
      </c>
      <c r="B42" s="19">
        <v>44354</v>
      </c>
      <c r="C42" t="s">
        <v>20</v>
      </c>
      <c r="D42" t="s">
        <v>23</v>
      </c>
      <c r="E42" t="s">
        <v>13</v>
      </c>
      <c r="F42">
        <v>6</v>
      </c>
      <c r="G42">
        <v>2100</v>
      </c>
      <c r="H42">
        <v>12600</v>
      </c>
    </row>
    <row r="43" spans="1:8" x14ac:dyDescent="0.25">
      <c r="A43">
        <v>154</v>
      </c>
      <c r="B43" s="19">
        <v>44350</v>
      </c>
      <c r="C43" t="s">
        <v>20</v>
      </c>
      <c r="D43" t="s">
        <v>23</v>
      </c>
      <c r="E43" t="s">
        <v>17</v>
      </c>
      <c r="F43">
        <v>4</v>
      </c>
      <c r="G43">
        <v>1500</v>
      </c>
      <c r="H43">
        <v>6000</v>
      </c>
    </row>
    <row r="44" spans="1:8" x14ac:dyDescent="0.25">
      <c r="A44">
        <v>153</v>
      </c>
      <c r="B44" s="19">
        <v>44349</v>
      </c>
      <c r="C44" t="s">
        <v>18</v>
      </c>
      <c r="D44" t="s">
        <v>23</v>
      </c>
      <c r="E44" t="s">
        <v>15</v>
      </c>
      <c r="F44">
        <v>5</v>
      </c>
      <c r="G44">
        <v>1200</v>
      </c>
      <c r="H44">
        <v>6000</v>
      </c>
    </row>
    <row r="45" spans="1:8" x14ac:dyDescent="0.25">
      <c r="A45">
        <v>42</v>
      </c>
      <c r="B45" s="19">
        <v>44238</v>
      </c>
      <c r="C45" t="s">
        <v>11</v>
      </c>
      <c r="D45" t="s">
        <v>23</v>
      </c>
      <c r="E45" t="s">
        <v>13</v>
      </c>
      <c r="F45">
        <v>7</v>
      </c>
      <c r="G45">
        <v>2100</v>
      </c>
      <c r="H45">
        <v>14700</v>
      </c>
    </row>
    <row r="46" spans="1:8" x14ac:dyDescent="0.25">
      <c r="A46">
        <v>43</v>
      </c>
      <c r="B46" s="19">
        <v>44239</v>
      </c>
      <c r="C46" t="s">
        <v>14</v>
      </c>
      <c r="D46" t="s">
        <v>23</v>
      </c>
      <c r="E46" t="s">
        <v>13</v>
      </c>
      <c r="F46">
        <v>7</v>
      </c>
      <c r="G46">
        <v>2100</v>
      </c>
      <c r="H46">
        <v>14700</v>
      </c>
    </row>
    <row r="47" spans="1:8" x14ac:dyDescent="0.25">
      <c r="A47">
        <v>44</v>
      </c>
      <c r="B47" s="19">
        <v>44240</v>
      </c>
      <c r="C47" t="s">
        <v>16</v>
      </c>
      <c r="D47" t="s">
        <v>23</v>
      </c>
      <c r="E47" t="s">
        <v>13</v>
      </c>
      <c r="F47">
        <v>7</v>
      </c>
      <c r="G47">
        <v>2100</v>
      </c>
      <c r="H47">
        <v>14700</v>
      </c>
    </row>
    <row r="48" spans="1:8" x14ac:dyDescent="0.25">
      <c r="A48">
        <v>45</v>
      </c>
      <c r="B48" s="19">
        <v>44241</v>
      </c>
      <c r="C48" t="s">
        <v>18</v>
      </c>
      <c r="D48" t="s">
        <v>23</v>
      </c>
      <c r="E48" t="s">
        <v>13</v>
      </c>
      <c r="F48">
        <v>7</v>
      </c>
      <c r="G48">
        <v>2100</v>
      </c>
      <c r="H48">
        <v>14700</v>
      </c>
    </row>
    <row r="49" spans="1:8" x14ac:dyDescent="0.25">
      <c r="A49">
        <v>46</v>
      </c>
      <c r="B49" s="19">
        <v>44242</v>
      </c>
      <c r="C49" t="s">
        <v>20</v>
      </c>
      <c r="D49" t="s">
        <v>23</v>
      </c>
      <c r="E49" t="s">
        <v>13</v>
      </c>
      <c r="F49">
        <v>7</v>
      </c>
      <c r="G49">
        <v>2100</v>
      </c>
      <c r="H49">
        <v>14700</v>
      </c>
    </row>
    <row r="50" spans="1:8" x14ac:dyDescent="0.25">
      <c r="A50">
        <v>152</v>
      </c>
      <c r="B50" s="19">
        <v>44348</v>
      </c>
      <c r="C50" t="s">
        <v>16</v>
      </c>
      <c r="D50" t="s">
        <v>23</v>
      </c>
      <c r="E50" t="s">
        <v>13</v>
      </c>
      <c r="F50">
        <v>6</v>
      </c>
      <c r="G50">
        <v>2100</v>
      </c>
      <c r="H50">
        <v>12600</v>
      </c>
    </row>
    <row r="51" spans="1:8" x14ac:dyDescent="0.25">
      <c r="A51">
        <v>151</v>
      </c>
      <c r="B51" s="19">
        <v>44347</v>
      </c>
      <c r="C51" t="s">
        <v>14</v>
      </c>
      <c r="D51" t="s">
        <v>23</v>
      </c>
      <c r="E51" t="s">
        <v>19</v>
      </c>
      <c r="F51">
        <v>4</v>
      </c>
      <c r="G51">
        <v>300</v>
      </c>
      <c r="H51">
        <v>1200</v>
      </c>
    </row>
    <row r="52" spans="1:8" x14ac:dyDescent="0.25">
      <c r="A52">
        <v>150</v>
      </c>
      <c r="B52" s="19">
        <v>44346</v>
      </c>
      <c r="C52" t="s">
        <v>11</v>
      </c>
      <c r="D52" t="s">
        <v>23</v>
      </c>
      <c r="E52" t="s">
        <v>19</v>
      </c>
      <c r="F52">
        <v>4</v>
      </c>
      <c r="G52">
        <v>300</v>
      </c>
      <c r="H52">
        <v>1200</v>
      </c>
    </row>
    <row r="53" spans="1:8" x14ac:dyDescent="0.25">
      <c r="A53">
        <v>50</v>
      </c>
      <c r="B53" s="19">
        <v>44246</v>
      </c>
      <c r="C53" t="s">
        <v>20</v>
      </c>
      <c r="D53" t="s">
        <v>23</v>
      </c>
      <c r="E53" t="s">
        <v>13</v>
      </c>
      <c r="F53">
        <v>7</v>
      </c>
      <c r="G53">
        <v>2100</v>
      </c>
      <c r="H53">
        <v>14700</v>
      </c>
    </row>
    <row r="54" spans="1:8" x14ac:dyDescent="0.25">
      <c r="A54">
        <v>146</v>
      </c>
      <c r="B54" s="19">
        <v>44342</v>
      </c>
      <c r="C54" t="s">
        <v>11</v>
      </c>
      <c r="D54" t="s">
        <v>23</v>
      </c>
      <c r="E54" t="s">
        <v>19</v>
      </c>
      <c r="F54">
        <v>4</v>
      </c>
      <c r="G54">
        <v>300</v>
      </c>
      <c r="H54">
        <v>1200</v>
      </c>
    </row>
    <row r="55" spans="1:8" x14ac:dyDescent="0.25">
      <c r="A55">
        <v>142</v>
      </c>
      <c r="B55" s="19">
        <v>44338</v>
      </c>
      <c r="C55" t="s">
        <v>8</v>
      </c>
      <c r="D55" t="s">
        <v>23</v>
      </c>
      <c r="E55" t="s">
        <v>19</v>
      </c>
      <c r="F55">
        <v>4</v>
      </c>
      <c r="G55">
        <v>300</v>
      </c>
      <c r="H55">
        <v>1200</v>
      </c>
    </row>
    <row r="56" spans="1:8" x14ac:dyDescent="0.25">
      <c r="A56">
        <v>138</v>
      </c>
      <c r="B56" s="19">
        <v>44334</v>
      </c>
      <c r="C56" t="s">
        <v>8</v>
      </c>
      <c r="D56" t="s">
        <v>23</v>
      </c>
      <c r="E56" t="s">
        <v>10</v>
      </c>
      <c r="F56">
        <v>2</v>
      </c>
      <c r="G56">
        <v>210</v>
      </c>
      <c r="H56">
        <v>420</v>
      </c>
    </row>
    <row r="57" spans="1:8" x14ac:dyDescent="0.25">
      <c r="A57">
        <v>54</v>
      </c>
      <c r="B57" s="19">
        <v>44250</v>
      </c>
      <c r="C57" t="s">
        <v>20</v>
      </c>
      <c r="D57" t="s">
        <v>23</v>
      </c>
      <c r="E57" t="s">
        <v>17</v>
      </c>
      <c r="F57">
        <v>4</v>
      </c>
      <c r="G57">
        <v>1500</v>
      </c>
      <c r="H57">
        <v>6000</v>
      </c>
    </row>
    <row r="58" spans="1:8" x14ac:dyDescent="0.25">
      <c r="A58">
        <v>108</v>
      </c>
      <c r="B58" s="19">
        <v>44304</v>
      </c>
      <c r="C58" t="s">
        <v>20</v>
      </c>
      <c r="D58" t="s">
        <v>23</v>
      </c>
      <c r="E58" t="s">
        <v>15</v>
      </c>
      <c r="F58">
        <v>5</v>
      </c>
      <c r="G58">
        <v>1200</v>
      </c>
      <c r="H58">
        <v>6000</v>
      </c>
    </row>
    <row r="59" spans="1:8" x14ac:dyDescent="0.25">
      <c r="A59">
        <v>104</v>
      </c>
      <c r="B59" s="19">
        <v>44300</v>
      </c>
      <c r="C59" t="s">
        <v>20</v>
      </c>
      <c r="D59" t="s">
        <v>23</v>
      </c>
      <c r="E59" t="s">
        <v>13</v>
      </c>
      <c r="F59">
        <v>6</v>
      </c>
      <c r="G59">
        <v>2100</v>
      </c>
      <c r="H59">
        <v>12600</v>
      </c>
    </row>
    <row r="60" spans="1:8" x14ac:dyDescent="0.25">
      <c r="A60">
        <v>100</v>
      </c>
      <c r="B60" s="19">
        <v>44296</v>
      </c>
      <c r="C60" t="s">
        <v>20</v>
      </c>
      <c r="D60" t="s">
        <v>23</v>
      </c>
      <c r="E60" t="s">
        <v>13</v>
      </c>
      <c r="F60">
        <v>2</v>
      </c>
      <c r="G60">
        <v>2100</v>
      </c>
      <c r="H60">
        <v>4200</v>
      </c>
    </row>
    <row r="61" spans="1:8" x14ac:dyDescent="0.25">
      <c r="A61">
        <v>99</v>
      </c>
      <c r="B61" s="19">
        <v>44295</v>
      </c>
      <c r="C61" t="s">
        <v>18</v>
      </c>
      <c r="D61" t="s">
        <v>23</v>
      </c>
      <c r="E61" t="s">
        <v>10</v>
      </c>
      <c r="F61">
        <v>3</v>
      </c>
      <c r="G61">
        <v>190</v>
      </c>
      <c r="H61">
        <v>570</v>
      </c>
    </row>
    <row r="62" spans="1:8" x14ac:dyDescent="0.25">
      <c r="A62">
        <v>98</v>
      </c>
      <c r="B62" s="19">
        <v>44294</v>
      </c>
      <c r="C62" t="s">
        <v>16</v>
      </c>
      <c r="D62" t="s">
        <v>23</v>
      </c>
      <c r="E62" t="s">
        <v>19</v>
      </c>
      <c r="F62">
        <v>3</v>
      </c>
      <c r="G62">
        <v>300</v>
      </c>
      <c r="H62">
        <v>900</v>
      </c>
    </row>
    <row r="63" spans="1:8" x14ac:dyDescent="0.25">
      <c r="A63">
        <v>97</v>
      </c>
      <c r="B63" s="19">
        <v>44293</v>
      </c>
      <c r="C63" t="s">
        <v>14</v>
      </c>
      <c r="D63" t="s">
        <v>23</v>
      </c>
      <c r="E63" t="s">
        <v>19</v>
      </c>
      <c r="F63">
        <v>3</v>
      </c>
      <c r="G63">
        <v>300</v>
      </c>
      <c r="H63">
        <v>900</v>
      </c>
    </row>
    <row r="64" spans="1:8" x14ac:dyDescent="0.25">
      <c r="A64">
        <v>96</v>
      </c>
      <c r="B64" s="19">
        <v>44292</v>
      </c>
      <c r="C64" t="s">
        <v>11</v>
      </c>
      <c r="D64" t="s">
        <v>23</v>
      </c>
      <c r="E64" t="s">
        <v>19</v>
      </c>
      <c r="F64">
        <v>3</v>
      </c>
      <c r="G64">
        <v>300</v>
      </c>
      <c r="H64">
        <v>900</v>
      </c>
    </row>
    <row r="65" spans="1:8" x14ac:dyDescent="0.25">
      <c r="A65">
        <v>92</v>
      </c>
      <c r="B65" s="19">
        <v>44288</v>
      </c>
      <c r="C65" t="s">
        <v>11</v>
      </c>
      <c r="D65" t="s">
        <v>23</v>
      </c>
      <c r="E65" t="s">
        <v>19</v>
      </c>
      <c r="F65">
        <v>3</v>
      </c>
      <c r="G65">
        <v>300</v>
      </c>
      <c r="H65">
        <v>900</v>
      </c>
    </row>
    <row r="66" spans="1:8" x14ac:dyDescent="0.25">
      <c r="A66">
        <v>88</v>
      </c>
      <c r="B66" s="19">
        <v>44284</v>
      </c>
      <c r="C66" t="s">
        <v>8</v>
      </c>
      <c r="D66" t="s">
        <v>23</v>
      </c>
      <c r="E66" t="s">
        <v>10</v>
      </c>
      <c r="F66">
        <v>2</v>
      </c>
      <c r="G66">
        <v>210</v>
      </c>
      <c r="H66">
        <v>420</v>
      </c>
    </row>
    <row r="67" spans="1:8" x14ac:dyDescent="0.25">
      <c r="A67">
        <v>84</v>
      </c>
      <c r="B67" s="19">
        <v>44280</v>
      </c>
      <c r="C67" t="s">
        <v>8</v>
      </c>
      <c r="D67" t="s">
        <v>23</v>
      </c>
      <c r="E67" t="s">
        <v>15</v>
      </c>
      <c r="F67">
        <v>5</v>
      </c>
      <c r="G67">
        <v>1200</v>
      </c>
      <c r="H67">
        <v>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672A-91FC-43B2-8A84-5EA307A35943}">
  <dimension ref="A1:H37"/>
  <sheetViews>
    <sheetView topLeftCell="A10" workbookViewId="0">
      <selection activeCell="A3" sqref="A3:H37"/>
    </sheetView>
  </sheetViews>
  <sheetFormatPr defaultRowHeight="15" x14ac:dyDescent="0.25"/>
  <cols>
    <col min="1" max="1" width="9.28515625" bestFit="1" customWidth="1"/>
    <col min="2" max="2" width="10.42578125" bestFit="1" customWidth="1"/>
    <col min="3" max="3" width="12" bestFit="1" customWidth="1"/>
    <col min="4" max="4" width="9.5703125" bestFit="1" customWidth="1"/>
    <col min="5" max="7" width="9.28515625" bestFit="1" customWidth="1"/>
    <col min="8" max="8" width="10.28515625" bestFit="1" customWidth="1"/>
  </cols>
  <sheetData>
    <row r="1" spans="1:8" x14ac:dyDescent="0.25">
      <c r="A1" s="17" t="s">
        <v>42</v>
      </c>
    </row>
    <row r="3" spans="1:8" x14ac:dyDescent="0.25">
      <c r="A3" t="s">
        <v>0</v>
      </c>
      <c r="B3" t="s">
        <v>1</v>
      </c>
      <c r="C3" t="s">
        <v>2</v>
      </c>
      <c r="D3" t="s">
        <v>3</v>
      </c>
      <c r="E3" t="s">
        <v>4</v>
      </c>
      <c r="F3" t="s">
        <v>5</v>
      </c>
      <c r="G3" t="s">
        <v>6</v>
      </c>
      <c r="H3" t="s">
        <v>7</v>
      </c>
    </row>
    <row r="4" spans="1:8" x14ac:dyDescent="0.25">
      <c r="A4">
        <v>347</v>
      </c>
      <c r="B4" s="19">
        <v>44543</v>
      </c>
      <c r="C4" t="s">
        <v>16</v>
      </c>
      <c r="D4" t="s">
        <v>12</v>
      </c>
      <c r="E4" t="s">
        <v>19</v>
      </c>
      <c r="F4">
        <v>5</v>
      </c>
      <c r="G4">
        <v>300</v>
      </c>
      <c r="H4">
        <v>1500</v>
      </c>
    </row>
    <row r="5" spans="1:8" x14ac:dyDescent="0.25">
      <c r="A5">
        <v>341</v>
      </c>
      <c r="B5" s="19">
        <v>44537</v>
      </c>
      <c r="C5" t="s">
        <v>16</v>
      </c>
      <c r="D5" t="s">
        <v>9</v>
      </c>
      <c r="E5" t="s">
        <v>17</v>
      </c>
      <c r="F5">
        <v>4</v>
      </c>
      <c r="G5">
        <v>1500</v>
      </c>
      <c r="H5">
        <v>6000</v>
      </c>
    </row>
    <row r="6" spans="1:8" x14ac:dyDescent="0.25">
      <c r="A6">
        <v>334</v>
      </c>
      <c r="B6" s="19">
        <v>44530</v>
      </c>
      <c r="C6" t="s">
        <v>16</v>
      </c>
      <c r="D6" t="s">
        <v>9</v>
      </c>
      <c r="E6" t="s">
        <v>15</v>
      </c>
      <c r="F6">
        <v>5</v>
      </c>
      <c r="G6">
        <v>1200</v>
      </c>
      <c r="H6">
        <v>6000</v>
      </c>
    </row>
    <row r="7" spans="1:8" x14ac:dyDescent="0.25">
      <c r="A7">
        <v>4</v>
      </c>
      <c r="B7" s="19">
        <v>44200</v>
      </c>
      <c r="C7" t="s">
        <v>16</v>
      </c>
      <c r="D7" t="s">
        <v>12</v>
      </c>
      <c r="E7" t="s">
        <v>17</v>
      </c>
      <c r="F7">
        <v>4</v>
      </c>
      <c r="G7">
        <v>1500</v>
      </c>
      <c r="H7">
        <v>6000</v>
      </c>
    </row>
    <row r="8" spans="1:8" x14ac:dyDescent="0.25">
      <c r="A8">
        <v>328</v>
      </c>
      <c r="B8" s="19">
        <v>44524</v>
      </c>
      <c r="C8" t="s">
        <v>16</v>
      </c>
      <c r="D8" t="s">
        <v>12</v>
      </c>
      <c r="E8" t="s">
        <v>10</v>
      </c>
      <c r="F8">
        <v>2</v>
      </c>
      <c r="G8">
        <v>210</v>
      </c>
      <c r="H8">
        <v>420</v>
      </c>
    </row>
    <row r="9" spans="1:8" x14ac:dyDescent="0.25">
      <c r="A9">
        <v>314</v>
      </c>
      <c r="B9" s="19">
        <v>44510</v>
      </c>
      <c r="C9" t="s">
        <v>16</v>
      </c>
      <c r="D9" t="s">
        <v>23</v>
      </c>
      <c r="E9" t="s">
        <v>21</v>
      </c>
      <c r="F9">
        <v>2</v>
      </c>
      <c r="G9">
        <v>190</v>
      </c>
      <c r="H9">
        <v>380</v>
      </c>
    </row>
    <row r="10" spans="1:8" x14ac:dyDescent="0.25">
      <c r="A10">
        <v>293</v>
      </c>
      <c r="B10" s="19">
        <v>44489</v>
      </c>
      <c r="C10" t="s">
        <v>16</v>
      </c>
      <c r="D10" t="s">
        <v>12</v>
      </c>
      <c r="E10" t="s">
        <v>17</v>
      </c>
      <c r="F10">
        <v>5</v>
      </c>
      <c r="G10">
        <v>1500</v>
      </c>
      <c r="H10">
        <v>7500</v>
      </c>
    </row>
    <row r="11" spans="1:8" x14ac:dyDescent="0.25">
      <c r="A11">
        <v>287</v>
      </c>
      <c r="B11" s="19">
        <v>44483</v>
      </c>
      <c r="C11" t="s">
        <v>16</v>
      </c>
      <c r="D11" t="s">
        <v>9</v>
      </c>
      <c r="E11" t="s">
        <v>21</v>
      </c>
      <c r="F11">
        <v>2</v>
      </c>
      <c r="G11">
        <v>190</v>
      </c>
      <c r="H11">
        <v>380</v>
      </c>
    </row>
    <row r="12" spans="1:8" x14ac:dyDescent="0.25">
      <c r="A12">
        <v>280</v>
      </c>
      <c r="B12" s="19">
        <v>44476</v>
      </c>
      <c r="C12" t="s">
        <v>16</v>
      </c>
      <c r="D12" t="s">
        <v>9</v>
      </c>
      <c r="E12" t="s">
        <v>19</v>
      </c>
      <c r="F12">
        <v>3</v>
      </c>
      <c r="G12">
        <v>300</v>
      </c>
      <c r="H12">
        <v>900</v>
      </c>
    </row>
    <row r="13" spans="1:8" x14ac:dyDescent="0.25">
      <c r="A13">
        <v>10</v>
      </c>
      <c r="B13" s="19">
        <v>44206</v>
      </c>
      <c r="C13" t="s">
        <v>16</v>
      </c>
      <c r="D13" t="s">
        <v>9</v>
      </c>
      <c r="E13" t="s">
        <v>17</v>
      </c>
      <c r="F13">
        <v>4</v>
      </c>
      <c r="G13">
        <v>1500</v>
      </c>
      <c r="H13">
        <v>6000</v>
      </c>
    </row>
    <row r="14" spans="1:8" x14ac:dyDescent="0.25">
      <c r="A14">
        <v>274</v>
      </c>
      <c r="B14" s="19">
        <v>44470</v>
      </c>
      <c r="C14" t="s">
        <v>16</v>
      </c>
      <c r="D14" t="s">
        <v>12</v>
      </c>
      <c r="E14" t="s">
        <v>13</v>
      </c>
      <c r="F14">
        <v>7</v>
      </c>
      <c r="G14">
        <v>2100</v>
      </c>
      <c r="H14">
        <v>14700</v>
      </c>
    </row>
    <row r="15" spans="1:8" x14ac:dyDescent="0.25">
      <c r="A15">
        <v>260</v>
      </c>
      <c r="B15" s="19">
        <v>44456</v>
      </c>
      <c r="C15" t="s">
        <v>16</v>
      </c>
      <c r="D15" t="s">
        <v>23</v>
      </c>
      <c r="E15" t="s">
        <v>17</v>
      </c>
      <c r="F15">
        <v>4</v>
      </c>
      <c r="G15">
        <v>1500</v>
      </c>
      <c r="H15">
        <v>6000</v>
      </c>
    </row>
    <row r="16" spans="1:8" x14ac:dyDescent="0.25">
      <c r="A16">
        <v>239</v>
      </c>
      <c r="B16" s="19">
        <v>44435</v>
      </c>
      <c r="C16" t="s">
        <v>16</v>
      </c>
      <c r="D16" t="s">
        <v>12</v>
      </c>
      <c r="E16" t="s">
        <v>13</v>
      </c>
      <c r="F16">
        <v>7</v>
      </c>
      <c r="G16">
        <v>2100</v>
      </c>
      <c r="H16">
        <v>14700</v>
      </c>
    </row>
    <row r="17" spans="1:8" x14ac:dyDescent="0.25">
      <c r="A17">
        <v>233</v>
      </c>
      <c r="B17" s="19">
        <v>44429</v>
      </c>
      <c r="C17" t="s">
        <v>16</v>
      </c>
      <c r="D17" t="s">
        <v>9</v>
      </c>
      <c r="E17" t="s">
        <v>13</v>
      </c>
      <c r="F17">
        <v>6</v>
      </c>
      <c r="G17">
        <v>2100</v>
      </c>
      <c r="H17">
        <v>12600</v>
      </c>
    </row>
    <row r="18" spans="1:8" x14ac:dyDescent="0.25">
      <c r="A18">
        <v>226</v>
      </c>
      <c r="B18" s="19">
        <v>44422</v>
      </c>
      <c r="C18" t="s">
        <v>16</v>
      </c>
      <c r="D18" t="s">
        <v>9</v>
      </c>
      <c r="E18" t="s">
        <v>10</v>
      </c>
      <c r="F18">
        <v>7</v>
      </c>
      <c r="G18">
        <v>210</v>
      </c>
      <c r="H18">
        <v>1470</v>
      </c>
    </row>
    <row r="19" spans="1:8" x14ac:dyDescent="0.25">
      <c r="A19">
        <v>220</v>
      </c>
      <c r="B19" s="19">
        <v>44416</v>
      </c>
      <c r="C19" t="s">
        <v>16</v>
      </c>
      <c r="D19" t="s">
        <v>12</v>
      </c>
      <c r="E19" t="s">
        <v>15</v>
      </c>
      <c r="F19">
        <v>7</v>
      </c>
      <c r="G19">
        <v>2100</v>
      </c>
      <c r="H19">
        <v>14700</v>
      </c>
    </row>
    <row r="20" spans="1:8" x14ac:dyDescent="0.25">
      <c r="A20">
        <v>17</v>
      </c>
      <c r="B20" s="19">
        <v>44213</v>
      </c>
      <c r="C20" t="s">
        <v>16</v>
      </c>
      <c r="D20" t="s">
        <v>9</v>
      </c>
      <c r="E20" t="s">
        <v>19</v>
      </c>
      <c r="F20">
        <v>4</v>
      </c>
      <c r="G20">
        <v>300</v>
      </c>
      <c r="H20">
        <v>1200</v>
      </c>
    </row>
    <row r="21" spans="1:8" x14ac:dyDescent="0.25">
      <c r="A21">
        <v>206</v>
      </c>
      <c r="B21" s="19">
        <v>44402</v>
      </c>
      <c r="C21" t="s">
        <v>16</v>
      </c>
      <c r="D21" t="s">
        <v>23</v>
      </c>
      <c r="E21" t="s">
        <v>21</v>
      </c>
      <c r="F21">
        <v>2</v>
      </c>
      <c r="G21">
        <v>190</v>
      </c>
      <c r="H21">
        <v>380</v>
      </c>
    </row>
    <row r="22" spans="1:8" x14ac:dyDescent="0.25">
      <c r="A22">
        <v>185</v>
      </c>
      <c r="B22" s="19">
        <v>44381</v>
      </c>
      <c r="C22" t="s">
        <v>16</v>
      </c>
      <c r="D22" t="s">
        <v>12</v>
      </c>
      <c r="E22" t="s">
        <v>17</v>
      </c>
      <c r="F22">
        <v>4</v>
      </c>
      <c r="G22">
        <v>1500</v>
      </c>
      <c r="H22">
        <v>6000</v>
      </c>
    </row>
    <row r="23" spans="1:8" x14ac:dyDescent="0.25">
      <c r="A23">
        <v>179</v>
      </c>
      <c r="B23" s="19">
        <v>44375</v>
      </c>
      <c r="C23" t="s">
        <v>16</v>
      </c>
      <c r="D23" t="s">
        <v>9</v>
      </c>
      <c r="E23" t="s">
        <v>10</v>
      </c>
      <c r="F23">
        <v>3</v>
      </c>
      <c r="G23">
        <v>190</v>
      </c>
      <c r="H23">
        <v>570</v>
      </c>
    </row>
    <row r="24" spans="1:8" x14ac:dyDescent="0.25">
      <c r="A24">
        <v>172</v>
      </c>
      <c r="B24" s="19">
        <v>44368</v>
      </c>
      <c r="C24" t="s">
        <v>16</v>
      </c>
      <c r="D24" t="s">
        <v>9</v>
      </c>
      <c r="E24" t="s">
        <v>19</v>
      </c>
      <c r="F24">
        <v>5</v>
      </c>
      <c r="G24">
        <v>300</v>
      </c>
      <c r="H24">
        <v>1500</v>
      </c>
    </row>
    <row r="25" spans="1:8" x14ac:dyDescent="0.25">
      <c r="A25">
        <v>166</v>
      </c>
      <c r="B25" s="19">
        <v>44362</v>
      </c>
      <c r="C25" t="s">
        <v>16</v>
      </c>
      <c r="D25" t="s">
        <v>12</v>
      </c>
      <c r="E25" t="s">
        <v>17</v>
      </c>
      <c r="F25">
        <v>5</v>
      </c>
      <c r="G25">
        <v>1500</v>
      </c>
      <c r="H25">
        <v>7500</v>
      </c>
    </row>
    <row r="26" spans="1:8" x14ac:dyDescent="0.25">
      <c r="A26">
        <v>23</v>
      </c>
      <c r="B26" s="19">
        <v>44219</v>
      </c>
      <c r="C26" t="s">
        <v>16</v>
      </c>
      <c r="D26" t="s">
        <v>12</v>
      </c>
      <c r="E26" t="s">
        <v>21</v>
      </c>
      <c r="F26">
        <v>4</v>
      </c>
      <c r="G26">
        <v>200</v>
      </c>
      <c r="H26">
        <v>800</v>
      </c>
    </row>
    <row r="27" spans="1:8" x14ac:dyDescent="0.25">
      <c r="A27">
        <v>152</v>
      </c>
      <c r="B27" s="19">
        <v>44348</v>
      </c>
      <c r="C27" t="s">
        <v>16</v>
      </c>
      <c r="D27" t="s">
        <v>23</v>
      </c>
      <c r="E27" t="s">
        <v>13</v>
      </c>
      <c r="F27">
        <v>6</v>
      </c>
      <c r="G27">
        <v>2100</v>
      </c>
      <c r="H27">
        <v>12600</v>
      </c>
    </row>
    <row r="28" spans="1:8" x14ac:dyDescent="0.25">
      <c r="A28">
        <v>131</v>
      </c>
      <c r="B28" s="19">
        <v>44327</v>
      </c>
      <c r="C28" t="s">
        <v>16</v>
      </c>
      <c r="D28" t="s">
        <v>12</v>
      </c>
      <c r="E28" t="s">
        <v>21</v>
      </c>
      <c r="F28">
        <v>2</v>
      </c>
      <c r="G28">
        <v>190</v>
      </c>
      <c r="H28">
        <v>380</v>
      </c>
    </row>
    <row r="29" spans="1:8" x14ac:dyDescent="0.25">
      <c r="A29">
        <v>125</v>
      </c>
      <c r="B29" s="19">
        <v>44321</v>
      </c>
      <c r="C29" t="s">
        <v>16</v>
      </c>
      <c r="D29" t="s">
        <v>9</v>
      </c>
      <c r="E29" t="s">
        <v>13</v>
      </c>
      <c r="F29">
        <v>2</v>
      </c>
      <c r="G29">
        <v>2100</v>
      </c>
      <c r="H29">
        <v>4200</v>
      </c>
    </row>
    <row r="30" spans="1:8" x14ac:dyDescent="0.25">
      <c r="A30">
        <v>118</v>
      </c>
      <c r="B30" s="19">
        <v>44314</v>
      </c>
      <c r="C30" t="s">
        <v>16</v>
      </c>
      <c r="D30" t="s">
        <v>9</v>
      </c>
      <c r="E30" t="s">
        <v>21</v>
      </c>
      <c r="F30">
        <v>3</v>
      </c>
      <c r="G30">
        <v>190</v>
      </c>
      <c r="H30">
        <v>570</v>
      </c>
    </row>
    <row r="31" spans="1:8" x14ac:dyDescent="0.25">
      <c r="A31">
        <v>112</v>
      </c>
      <c r="B31" s="19">
        <v>44308</v>
      </c>
      <c r="C31" t="s">
        <v>16</v>
      </c>
      <c r="D31" t="s">
        <v>12</v>
      </c>
      <c r="E31" t="s">
        <v>15</v>
      </c>
      <c r="F31">
        <v>5</v>
      </c>
      <c r="G31">
        <v>1200</v>
      </c>
      <c r="H31">
        <v>6000</v>
      </c>
    </row>
    <row r="32" spans="1:8" x14ac:dyDescent="0.25">
      <c r="A32">
        <v>98</v>
      </c>
      <c r="B32" s="19">
        <v>44294</v>
      </c>
      <c r="C32" t="s">
        <v>16</v>
      </c>
      <c r="D32" t="s">
        <v>23</v>
      </c>
      <c r="E32" t="s">
        <v>19</v>
      </c>
      <c r="F32">
        <v>3</v>
      </c>
      <c r="G32">
        <v>300</v>
      </c>
      <c r="H32">
        <v>900</v>
      </c>
    </row>
    <row r="33" spans="1:8" x14ac:dyDescent="0.25">
      <c r="A33">
        <v>77</v>
      </c>
      <c r="B33" s="19">
        <v>44273</v>
      </c>
      <c r="C33" t="s">
        <v>16</v>
      </c>
      <c r="D33" t="s">
        <v>12</v>
      </c>
      <c r="E33" t="s">
        <v>10</v>
      </c>
      <c r="F33">
        <v>2</v>
      </c>
      <c r="G33">
        <v>210</v>
      </c>
      <c r="H33">
        <v>420</v>
      </c>
    </row>
    <row r="34" spans="1:8" x14ac:dyDescent="0.25">
      <c r="A34">
        <v>71</v>
      </c>
      <c r="B34" s="19">
        <v>44267</v>
      </c>
      <c r="C34" t="s">
        <v>16</v>
      </c>
      <c r="D34" t="s">
        <v>9</v>
      </c>
      <c r="E34" t="s">
        <v>10</v>
      </c>
      <c r="F34">
        <v>2</v>
      </c>
      <c r="G34">
        <v>210</v>
      </c>
      <c r="H34">
        <v>420</v>
      </c>
    </row>
    <row r="35" spans="1:8" x14ac:dyDescent="0.25">
      <c r="A35">
        <v>64</v>
      </c>
      <c r="B35" s="19">
        <v>44260</v>
      </c>
      <c r="C35" t="s">
        <v>16</v>
      </c>
      <c r="D35" t="s">
        <v>9</v>
      </c>
      <c r="E35" t="s">
        <v>13</v>
      </c>
      <c r="F35">
        <v>7</v>
      </c>
      <c r="G35">
        <v>2100</v>
      </c>
      <c r="H35">
        <v>14700</v>
      </c>
    </row>
    <row r="36" spans="1:8" x14ac:dyDescent="0.25">
      <c r="A36">
        <v>58</v>
      </c>
      <c r="B36" s="19">
        <v>44254</v>
      </c>
      <c r="C36" t="s">
        <v>16</v>
      </c>
      <c r="D36" t="s">
        <v>12</v>
      </c>
      <c r="E36" t="s">
        <v>13</v>
      </c>
      <c r="F36">
        <v>6</v>
      </c>
      <c r="G36">
        <v>2100</v>
      </c>
      <c r="H36">
        <v>12600</v>
      </c>
    </row>
    <row r="37" spans="1:8" x14ac:dyDescent="0.25">
      <c r="A37">
        <v>44</v>
      </c>
      <c r="B37" s="19">
        <v>44240</v>
      </c>
      <c r="C37" t="s">
        <v>16</v>
      </c>
      <c r="D37" t="s">
        <v>23</v>
      </c>
      <c r="E37" t="s">
        <v>13</v>
      </c>
      <c r="F37">
        <v>7</v>
      </c>
      <c r="G37">
        <v>2100</v>
      </c>
      <c r="H37">
        <v>14700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8765-DCC7-4166-AD60-92B773E368C6}">
  <dimension ref="A3:C100"/>
  <sheetViews>
    <sheetView topLeftCell="A19" workbookViewId="0">
      <selection activeCell="C42" sqref="C42"/>
    </sheetView>
  </sheetViews>
  <sheetFormatPr defaultRowHeight="15" x14ac:dyDescent="0.25"/>
  <cols>
    <col min="1" max="1" width="16.42578125" bestFit="1" customWidth="1"/>
    <col min="2" max="2" width="14.85546875" bestFit="1" customWidth="1"/>
    <col min="3" max="3" width="10.85546875" bestFit="1" customWidth="1"/>
  </cols>
  <sheetData>
    <row r="3" spans="1:2" x14ac:dyDescent="0.25">
      <c r="A3" s="11" t="s">
        <v>25</v>
      </c>
      <c r="B3" t="s">
        <v>24</v>
      </c>
    </row>
    <row r="4" spans="1:2" x14ac:dyDescent="0.25">
      <c r="A4" s="18" t="s">
        <v>27</v>
      </c>
      <c r="B4" s="23">
        <v>143130</v>
      </c>
    </row>
    <row r="5" spans="1:2" x14ac:dyDescent="0.25">
      <c r="A5" s="18" t="s">
        <v>28</v>
      </c>
      <c r="B5" s="23">
        <v>224470</v>
      </c>
    </row>
    <row r="6" spans="1:2" x14ac:dyDescent="0.25">
      <c r="A6" s="18" t="s">
        <v>29</v>
      </c>
      <c r="B6" s="23">
        <v>86100</v>
      </c>
    </row>
    <row r="7" spans="1:2" x14ac:dyDescent="0.25">
      <c r="A7" s="18" t="s">
        <v>30</v>
      </c>
      <c r="B7" s="23">
        <v>153530</v>
      </c>
    </row>
    <row r="8" spans="1:2" x14ac:dyDescent="0.25">
      <c r="A8" s="18" t="s">
        <v>31</v>
      </c>
      <c r="B8" s="23">
        <v>110160</v>
      </c>
    </row>
    <row r="9" spans="1:2" x14ac:dyDescent="0.25">
      <c r="A9" s="18" t="s">
        <v>32</v>
      </c>
      <c r="B9" s="23">
        <v>118530</v>
      </c>
    </row>
    <row r="10" spans="1:2" x14ac:dyDescent="0.25">
      <c r="A10" s="18" t="s">
        <v>33</v>
      </c>
      <c r="B10" s="23">
        <v>130100</v>
      </c>
    </row>
    <row r="11" spans="1:2" x14ac:dyDescent="0.25">
      <c r="A11" s="18" t="s">
        <v>34</v>
      </c>
      <c r="B11" s="23">
        <v>156300</v>
      </c>
    </row>
    <row r="12" spans="1:2" x14ac:dyDescent="0.25">
      <c r="A12" s="18" t="s">
        <v>35</v>
      </c>
      <c r="B12" s="23">
        <v>223770</v>
      </c>
    </row>
    <row r="13" spans="1:2" x14ac:dyDescent="0.25">
      <c r="A13" s="18" t="s">
        <v>36</v>
      </c>
      <c r="B13" s="23">
        <v>197350</v>
      </c>
    </row>
    <row r="14" spans="1:2" x14ac:dyDescent="0.25">
      <c r="A14" s="18" t="s">
        <v>37</v>
      </c>
      <c r="B14" s="23">
        <v>31520</v>
      </c>
    </row>
    <row r="15" spans="1:2" x14ac:dyDescent="0.25">
      <c r="A15" s="18" t="s">
        <v>38</v>
      </c>
      <c r="B15" s="23">
        <v>207610</v>
      </c>
    </row>
    <row r="16" spans="1:2" x14ac:dyDescent="0.25">
      <c r="A16" s="18" t="s">
        <v>26</v>
      </c>
      <c r="B16" s="23">
        <v>1782570</v>
      </c>
    </row>
    <row r="21" spans="1:2" x14ac:dyDescent="0.25">
      <c r="A21" s="11" t="s">
        <v>25</v>
      </c>
      <c r="B21" t="s">
        <v>24</v>
      </c>
    </row>
    <row r="22" spans="1:2" x14ac:dyDescent="0.25">
      <c r="A22" s="18" t="s">
        <v>9</v>
      </c>
      <c r="B22" s="23">
        <v>736080</v>
      </c>
    </row>
    <row r="23" spans="1:2" x14ac:dyDescent="0.25">
      <c r="A23" s="18" t="s">
        <v>22</v>
      </c>
      <c r="B23" s="23">
        <v>203680</v>
      </c>
    </row>
    <row r="24" spans="1:2" x14ac:dyDescent="0.25">
      <c r="A24" s="18" t="s">
        <v>23</v>
      </c>
      <c r="B24" s="23">
        <v>335480</v>
      </c>
    </row>
    <row r="25" spans="1:2" x14ac:dyDescent="0.25">
      <c r="A25" s="18" t="s">
        <v>12</v>
      </c>
      <c r="B25" s="23">
        <v>507330</v>
      </c>
    </row>
    <row r="26" spans="1:2" x14ac:dyDescent="0.25">
      <c r="A26" s="18" t="s">
        <v>26</v>
      </c>
      <c r="B26" s="23">
        <v>1782570</v>
      </c>
    </row>
    <row r="30" spans="1:2" x14ac:dyDescent="0.25">
      <c r="A30" s="11" t="s">
        <v>25</v>
      </c>
      <c r="B30" t="s">
        <v>24</v>
      </c>
    </row>
    <row r="31" spans="1:2" x14ac:dyDescent="0.25">
      <c r="A31" s="18" t="s">
        <v>21</v>
      </c>
      <c r="B31" s="23">
        <v>25320</v>
      </c>
    </row>
    <row r="32" spans="1:2" x14ac:dyDescent="0.25">
      <c r="A32" s="18" t="s">
        <v>15</v>
      </c>
      <c r="B32" s="23">
        <v>339000</v>
      </c>
    </row>
    <row r="33" spans="1:3" x14ac:dyDescent="0.25">
      <c r="A33" s="18" t="s">
        <v>10</v>
      </c>
      <c r="B33" s="23">
        <v>66150</v>
      </c>
    </row>
    <row r="34" spans="1:3" x14ac:dyDescent="0.25">
      <c r="A34" s="18" t="s">
        <v>13</v>
      </c>
      <c r="B34" s="23">
        <v>934500</v>
      </c>
    </row>
    <row r="35" spans="1:3" x14ac:dyDescent="0.25">
      <c r="A35" s="18" t="s">
        <v>17</v>
      </c>
      <c r="B35" s="23">
        <v>352200</v>
      </c>
    </row>
    <row r="36" spans="1:3" x14ac:dyDescent="0.25">
      <c r="A36" s="18" t="s">
        <v>19</v>
      </c>
      <c r="B36" s="23">
        <v>65400</v>
      </c>
    </row>
    <row r="37" spans="1:3" x14ac:dyDescent="0.25">
      <c r="A37" s="18" t="s">
        <v>26</v>
      </c>
      <c r="B37" s="23">
        <v>1782570</v>
      </c>
    </row>
    <row r="41" spans="1:3" x14ac:dyDescent="0.25">
      <c r="A41" s="20" t="s">
        <v>24</v>
      </c>
    </row>
    <row r="42" spans="1:3" x14ac:dyDescent="0.25">
      <c r="A42" s="21">
        <v>1782570</v>
      </c>
      <c r="C42" s="24">
        <f>GETPIVOTDATA("Amount",$A$41)</f>
        <v>1782570</v>
      </c>
    </row>
    <row r="44" spans="1:3" x14ac:dyDescent="0.25">
      <c r="A44" s="20" t="s">
        <v>40</v>
      </c>
    </row>
    <row r="45" spans="1:3" x14ac:dyDescent="0.25">
      <c r="A45" s="23">
        <v>366</v>
      </c>
      <c r="C45">
        <f>GETPIVOTDATA("Amount",$A$44)</f>
        <v>366</v>
      </c>
    </row>
    <row r="48" spans="1:3" x14ac:dyDescent="0.25">
      <c r="A48" s="11" t="s">
        <v>25</v>
      </c>
      <c r="B48" t="s">
        <v>41</v>
      </c>
    </row>
    <row r="49" spans="1:2" x14ac:dyDescent="0.25">
      <c r="A49" s="18" t="s">
        <v>13</v>
      </c>
      <c r="B49" s="23">
        <v>445</v>
      </c>
    </row>
    <row r="50" spans="1:2" x14ac:dyDescent="0.25">
      <c r="A50" s="18" t="s">
        <v>10</v>
      </c>
      <c r="B50" s="23">
        <v>319</v>
      </c>
    </row>
    <row r="51" spans="1:2" x14ac:dyDescent="0.25">
      <c r="A51" s="18" t="s">
        <v>15</v>
      </c>
      <c r="B51" s="23">
        <v>251</v>
      </c>
    </row>
    <row r="52" spans="1:2" x14ac:dyDescent="0.25">
      <c r="A52" s="18" t="s">
        <v>26</v>
      </c>
      <c r="B52" s="23">
        <v>1015</v>
      </c>
    </row>
    <row r="57" spans="1:2" x14ac:dyDescent="0.25">
      <c r="A57" s="11" t="s">
        <v>25</v>
      </c>
      <c r="B57" t="s">
        <v>41</v>
      </c>
    </row>
    <row r="58" spans="1:2" x14ac:dyDescent="0.25">
      <c r="A58" s="18" t="s">
        <v>21</v>
      </c>
      <c r="B58" s="23">
        <v>132</v>
      </c>
    </row>
    <row r="59" spans="1:2" x14ac:dyDescent="0.25">
      <c r="A59" s="18" t="s">
        <v>19</v>
      </c>
      <c r="B59" s="23">
        <v>218</v>
      </c>
    </row>
    <row r="60" spans="1:2" x14ac:dyDescent="0.25">
      <c r="A60" s="18" t="s">
        <v>17</v>
      </c>
      <c r="B60" s="23">
        <v>242</v>
      </c>
    </row>
    <row r="61" spans="1:2" x14ac:dyDescent="0.25">
      <c r="A61" s="18" t="s">
        <v>26</v>
      </c>
      <c r="B61" s="23">
        <v>592</v>
      </c>
    </row>
    <row r="66" spans="1:2" x14ac:dyDescent="0.25">
      <c r="A66" s="11" t="s">
        <v>25</v>
      </c>
      <c r="B66" t="s">
        <v>41</v>
      </c>
    </row>
    <row r="67" spans="1:2" x14ac:dyDescent="0.25">
      <c r="A67" s="18" t="s">
        <v>11</v>
      </c>
      <c r="B67">
        <v>360</v>
      </c>
    </row>
    <row r="68" spans="1:2" x14ac:dyDescent="0.25">
      <c r="A68" s="18" t="s">
        <v>8</v>
      </c>
      <c r="B68">
        <v>394</v>
      </c>
    </row>
    <row r="69" spans="1:2" x14ac:dyDescent="0.25">
      <c r="A69" s="18" t="s">
        <v>20</v>
      </c>
      <c r="B69">
        <v>419</v>
      </c>
    </row>
    <row r="70" spans="1:2" x14ac:dyDescent="0.25">
      <c r="A70" s="18" t="s">
        <v>26</v>
      </c>
      <c r="B70">
        <v>1173</v>
      </c>
    </row>
    <row r="76" spans="1:2" x14ac:dyDescent="0.25">
      <c r="A76" s="11" t="s">
        <v>25</v>
      </c>
      <c r="B76" t="s">
        <v>41</v>
      </c>
    </row>
    <row r="77" spans="1:2" x14ac:dyDescent="0.25">
      <c r="A77" s="18" t="s">
        <v>16</v>
      </c>
      <c r="B77">
        <v>146</v>
      </c>
    </row>
    <row r="78" spans="1:2" x14ac:dyDescent="0.25">
      <c r="A78" s="18" t="s">
        <v>14</v>
      </c>
      <c r="B78">
        <v>144</v>
      </c>
    </row>
    <row r="79" spans="1:2" x14ac:dyDescent="0.25">
      <c r="A79" s="18" t="s">
        <v>18</v>
      </c>
      <c r="B79">
        <v>144</v>
      </c>
    </row>
    <row r="80" spans="1:2" x14ac:dyDescent="0.25">
      <c r="A80" s="18" t="s">
        <v>26</v>
      </c>
      <c r="B80">
        <v>434</v>
      </c>
    </row>
    <row r="83" spans="1:2" x14ac:dyDescent="0.25">
      <c r="A83" s="11" t="s">
        <v>25</v>
      </c>
      <c r="B83" s="22" t="s">
        <v>43</v>
      </c>
    </row>
    <row r="84" spans="1:2" x14ac:dyDescent="0.25">
      <c r="A84" s="18" t="s">
        <v>13</v>
      </c>
      <c r="B84" s="22">
        <v>6.095890410958904</v>
      </c>
    </row>
    <row r="85" spans="1:2" x14ac:dyDescent="0.25">
      <c r="A85" s="18" t="s">
        <v>15</v>
      </c>
      <c r="B85" s="22">
        <v>5.5777777777777775</v>
      </c>
    </row>
    <row r="86" spans="1:2" x14ac:dyDescent="0.25">
      <c r="A86" s="18" t="s">
        <v>17</v>
      </c>
      <c r="B86" s="22">
        <v>4.5660377358490569</v>
      </c>
    </row>
    <row r="87" spans="1:2" x14ac:dyDescent="0.25">
      <c r="A87" s="18" t="s">
        <v>10</v>
      </c>
      <c r="B87" s="22">
        <v>3.9874999999999998</v>
      </c>
    </row>
    <row r="88" spans="1:2" x14ac:dyDescent="0.25">
      <c r="A88" s="18" t="s">
        <v>19</v>
      </c>
      <c r="B88" s="22">
        <v>3.5737704918032787</v>
      </c>
    </row>
    <row r="89" spans="1:2" x14ac:dyDescent="0.25">
      <c r="A89" s="18" t="s">
        <v>21</v>
      </c>
      <c r="B89" s="22">
        <v>2.4444444444444446</v>
      </c>
    </row>
    <row r="90" spans="1:2" x14ac:dyDescent="0.25">
      <c r="A90" s="18" t="s">
        <v>26</v>
      </c>
      <c r="B90" s="22">
        <v>4.3907103825136611</v>
      </c>
    </row>
    <row r="93" spans="1:2" x14ac:dyDescent="0.25">
      <c r="A93" s="11" t="s">
        <v>25</v>
      </c>
      <c r="B93" t="s">
        <v>24</v>
      </c>
    </row>
    <row r="94" spans="1:2" x14ac:dyDescent="0.25">
      <c r="A94" s="18" t="s">
        <v>8</v>
      </c>
      <c r="B94">
        <v>386030</v>
      </c>
    </row>
    <row r="95" spans="1:2" x14ac:dyDescent="0.25">
      <c r="A95" s="18" t="s">
        <v>16</v>
      </c>
      <c r="B95">
        <v>184690</v>
      </c>
    </row>
    <row r="96" spans="1:2" x14ac:dyDescent="0.25">
      <c r="A96" s="18" t="s">
        <v>18</v>
      </c>
      <c r="B96">
        <v>125600</v>
      </c>
    </row>
    <row r="97" spans="1:2" x14ac:dyDescent="0.25">
      <c r="A97" s="18" t="s">
        <v>14</v>
      </c>
      <c r="B97">
        <v>139880</v>
      </c>
    </row>
    <row r="98" spans="1:2" x14ac:dyDescent="0.25">
      <c r="A98" s="18" t="s">
        <v>11</v>
      </c>
      <c r="B98">
        <v>394410</v>
      </c>
    </row>
    <row r="99" spans="1:2" x14ac:dyDescent="0.25">
      <c r="A99" s="18" t="s">
        <v>20</v>
      </c>
      <c r="B99">
        <v>551960</v>
      </c>
    </row>
    <row r="100" spans="1:2" x14ac:dyDescent="0.25">
      <c r="A100" s="18" t="s">
        <v>26</v>
      </c>
      <c r="B100">
        <v>1782570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B70B-2109-41CB-8FDA-B2F3F62E8CAE}">
  <dimension ref="A1:H367"/>
  <sheetViews>
    <sheetView workbookViewId="0">
      <selection activeCell="H1" sqref="H1:H1048576"/>
    </sheetView>
  </sheetViews>
  <sheetFormatPr defaultRowHeight="15" x14ac:dyDescent="0.25"/>
  <cols>
    <col min="3" max="3" width="14.140625" customWidth="1"/>
    <col min="4" max="4" width="11" customWidth="1"/>
    <col min="8" max="8" width="12" customWidth="1"/>
  </cols>
  <sheetData>
    <row r="1" spans="1:8" ht="18.75" x14ac:dyDescent="0.3">
      <c r="A1" s="12" t="s">
        <v>0</v>
      </c>
      <c r="B1" s="13" t="s">
        <v>1</v>
      </c>
      <c r="C1" s="14" t="s">
        <v>2</v>
      </c>
      <c r="D1" s="14" t="s">
        <v>3</v>
      </c>
      <c r="E1" s="14" t="s">
        <v>4</v>
      </c>
      <c r="F1" s="15" t="s">
        <v>5</v>
      </c>
      <c r="G1" s="15" t="s">
        <v>6</v>
      </c>
      <c r="H1" s="16" t="s">
        <v>7</v>
      </c>
    </row>
    <row r="2" spans="1:8" x14ac:dyDescent="0.25">
      <c r="A2" s="4">
        <v>1</v>
      </c>
      <c r="B2" s="1">
        <v>44197</v>
      </c>
      <c r="C2" s="2" t="s">
        <v>8</v>
      </c>
      <c r="D2" s="2" t="s">
        <v>9</v>
      </c>
      <c r="E2" s="2" t="s">
        <v>10</v>
      </c>
      <c r="F2" s="3">
        <v>7</v>
      </c>
      <c r="G2" s="3">
        <v>210</v>
      </c>
      <c r="H2" s="5">
        <f>F2*G2</f>
        <v>1470</v>
      </c>
    </row>
    <row r="3" spans="1:8" x14ac:dyDescent="0.25">
      <c r="A3" s="4">
        <v>2</v>
      </c>
      <c r="B3" s="1">
        <v>44198</v>
      </c>
      <c r="C3" s="2" t="s">
        <v>11</v>
      </c>
      <c r="D3" s="2" t="s">
        <v>12</v>
      </c>
      <c r="E3" s="2" t="s">
        <v>13</v>
      </c>
      <c r="F3" s="3">
        <v>6</v>
      </c>
      <c r="G3" s="3">
        <v>2100</v>
      </c>
      <c r="H3" s="5">
        <f t="shared" ref="H3:H66" si="0">F3*G3</f>
        <v>12600</v>
      </c>
    </row>
    <row r="4" spans="1:8" x14ac:dyDescent="0.25">
      <c r="A4" s="4">
        <v>3</v>
      </c>
      <c r="B4" s="1">
        <v>44199</v>
      </c>
      <c r="C4" s="2" t="s">
        <v>14</v>
      </c>
      <c r="D4" s="2" t="s">
        <v>9</v>
      </c>
      <c r="E4" s="2" t="s">
        <v>15</v>
      </c>
      <c r="F4" s="3">
        <v>5</v>
      </c>
      <c r="G4" s="3">
        <v>1200</v>
      </c>
      <c r="H4" s="5">
        <f t="shared" si="0"/>
        <v>6000</v>
      </c>
    </row>
    <row r="5" spans="1:8" x14ac:dyDescent="0.25">
      <c r="A5" s="4">
        <v>4</v>
      </c>
      <c r="B5" s="1">
        <v>44200</v>
      </c>
      <c r="C5" s="2" t="s">
        <v>16</v>
      </c>
      <c r="D5" s="2" t="s">
        <v>12</v>
      </c>
      <c r="E5" s="2" t="s">
        <v>17</v>
      </c>
      <c r="F5" s="3">
        <v>4</v>
      </c>
      <c r="G5" s="3">
        <v>1500</v>
      </c>
      <c r="H5" s="5">
        <f t="shared" si="0"/>
        <v>6000</v>
      </c>
    </row>
    <row r="6" spans="1:8" x14ac:dyDescent="0.25">
      <c r="A6" s="4">
        <v>5</v>
      </c>
      <c r="B6" s="1">
        <v>44201</v>
      </c>
      <c r="C6" s="2" t="s">
        <v>18</v>
      </c>
      <c r="D6" s="2" t="s">
        <v>9</v>
      </c>
      <c r="E6" s="2" t="s">
        <v>19</v>
      </c>
      <c r="F6" s="3">
        <v>3</v>
      </c>
      <c r="G6" s="3">
        <v>300</v>
      </c>
      <c r="H6" s="5">
        <f t="shared" si="0"/>
        <v>900</v>
      </c>
    </row>
    <row r="7" spans="1:8" x14ac:dyDescent="0.25">
      <c r="A7" s="4">
        <v>6</v>
      </c>
      <c r="B7" s="1">
        <v>44202</v>
      </c>
      <c r="C7" s="2" t="s">
        <v>20</v>
      </c>
      <c r="D7" s="2" t="s">
        <v>9</v>
      </c>
      <c r="E7" s="2" t="s">
        <v>21</v>
      </c>
      <c r="F7" s="3">
        <v>2</v>
      </c>
      <c r="G7" s="3">
        <v>190</v>
      </c>
      <c r="H7" s="5">
        <f t="shared" si="0"/>
        <v>380</v>
      </c>
    </row>
    <row r="8" spans="1:8" x14ac:dyDescent="0.25">
      <c r="A8" s="4">
        <v>7</v>
      </c>
      <c r="B8" s="1">
        <v>44203</v>
      </c>
      <c r="C8" s="2" t="s">
        <v>8</v>
      </c>
      <c r="D8" s="2" t="s">
        <v>9</v>
      </c>
      <c r="E8" s="2" t="s">
        <v>10</v>
      </c>
      <c r="F8" s="3">
        <v>7</v>
      </c>
      <c r="G8" s="3">
        <v>210</v>
      </c>
      <c r="H8" s="5">
        <f t="shared" si="0"/>
        <v>1470</v>
      </c>
    </row>
    <row r="9" spans="1:8" x14ac:dyDescent="0.25">
      <c r="A9" s="4">
        <v>8</v>
      </c>
      <c r="B9" s="1">
        <v>44204</v>
      </c>
      <c r="C9" s="2" t="s">
        <v>11</v>
      </c>
      <c r="D9" s="2" t="s">
        <v>12</v>
      </c>
      <c r="E9" s="2" t="s">
        <v>13</v>
      </c>
      <c r="F9" s="3">
        <v>6</v>
      </c>
      <c r="G9" s="3">
        <v>2100</v>
      </c>
      <c r="H9" s="5">
        <f t="shared" si="0"/>
        <v>12600</v>
      </c>
    </row>
    <row r="10" spans="1:8" x14ac:dyDescent="0.25">
      <c r="A10" s="4">
        <v>9</v>
      </c>
      <c r="B10" s="1">
        <v>44205</v>
      </c>
      <c r="C10" s="2" t="s">
        <v>14</v>
      </c>
      <c r="D10" s="2" t="s">
        <v>12</v>
      </c>
      <c r="E10" s="2" t="s">
        <v>15</v>
      </c>
      <c r="F10" s="3">
        <v>5</v>
      </c>
      <c r="G10" s="3">
        <v>1200</v>
      </c>
      <c r="H10" s="5">
        <f t="shared" si="0"/>
        <v>6000</v>
      </c>
    </row>
    <row r="11" spans="1:8" x14ac:dyDescent="0.25">
      <c r="A11" s="4">
        <v>10</v>
      </c>
      <c r="B11" s="1">
        <v>44206</v>
      </c>
      <c r="C11" s="2" t="s">
        <v>16</v>
      </c>
      <c r="D11" s="2" t="s">
        <v>9</v>
      </c>
      <c r="E11" s="2" t="s">
        <v>17</v>
      </c>
      <c r="F11" s="3">
        <v>4</v>
      </c>
      <c r="G11" s="3">
        <v>1500</v>
      </c>
      <c r="H11" s="5">
        <f t="shared" si="0"/>
        <v>6000</v>
      </c>
    </row>
    <row r="12" spans="1:8" x14ac:dyDescent="0.25">
      <c r="A12" s="4">
        <v>11</v>
      </c>
      <c r="B12" s="1">
        <v>44207</v>
      </c>
      <c r="C12" s="2" t="s">
        <v>18</v>
      </c>
      <c r="D12" s="2" t="s">
        <v>9</v>
      </c>
      <c r="E12" s="2" t="s">
        <v>19</v>
      </c>
      <c r="F12" s="3">
        <v>3</v>
      </c>
      <c r="G12" s="3">
        <v>300</v>
      </c>
      <c r="H12" s="5">
        <f t="shared" si="0"/>
        <v>900</v>
      </c>
    </row>
    <row r="13" spans="1:8" x14ac:dyDescent="0.25">
      <c r="A13" s="4">
        <v>12</v>
      </c>
      <c r="B13" s="1">
        <v>44208</v>
      </c>
      <c r="C13" s="2" t="s">
        <v>20</v>
      </c>
      <c r="D13" s="2" t="s">
        <v>12</v>
      </c>
      <c r="E13" s="2" t="s">
        <v>21</v>
      </c>
      <c r="F13" s="3">
        <v>2</v>
      </c>
      <c r="G13" s="3">
        <v>190</v>
      </c>
      <c r="H13" s="5">
        <f t="shared" si="0"/>
        <v>380</v>
      </c>
    </row>
    <row r="14" spans="1:8" x14ac:dyDescent="0.25">
      <c r="A14" s="4">
        <v>13</v>
      </c>
      <c r="B14" s="1">
        <v>44209</v>
      </c>
      <c r="C14" s="2" t="s">
        <v>20</v>
      </c>
      <c r="D14" s="2" t="s">
        <v>9</v>
      </c>
      <c r="E14" s="2" t="s">
        <v>10</v>
      </c>
      <c r="F14" s="3">
        <v>2</v>
      </c>
      <c r="G14" s="3">
        <v>210</v>
      </c>
      <c r="H14" s="5">
        <f t="shared" si="0"/>
        <v>420</v>
      </c>
    </row>
    <row r="15" spans="1:8" x14ac:dyDescent="0.25">
      <c r="A15" s="4">
        <v>14</v>
      </c>
      <c r="B15" s="1">
        <v>44210</v>
      </c>
      <c r="C15" s="2" t="s">
        <v>8</v>
      </c>
      <c r="D15" s="2" t="s">
        <v>9</v>
      </c>
      <c r="E15" s="2" t="s">
        <v>13</v>
      </c>
      <c r="F15" s="3">
        <v>7</v>
      </c>
      <c r="G15" s="3">
        <v>2100</v>
      </c>
      <c r="H15" s="5">
        <f t="shared" si="0"/>
        <v>14700</v>
      </c>
    </row>
    <row r="16" spans="1:8" x14ac:dyDescent="0.25">
      <c r="A16" s="4">
        <v>15</v>
      </c>
      <c r="B16" s="1">
        <v>44211</v>
      </c>
      <c r="C16" s="2" t="s">
        <v>11</v>
      </c>
      <c r="D16" s="2" t="s">
        <v>9</v>
      </c>
      <c r="E16" s="2" t="s">
        <v>15</v>
      </c>
      <c r="F16" s="3">
        <v>6</v>
      </c>
      <c r="G16" s="3">
        <v>1200</v>
      </c>
      <c r="H16" s="5">
        <f t="shared" si="0"/>
        <v>7200</v>
      </c>
    </row>
    <row r="17" spans="1:8" x14ac:dyDescent="0.25">
      <c r="A17" s="4">
        <v>16</v>
      </c>
      <c r="B17" s="1">
        <v>44212</v>
      </c>
      <c r="C17" s="2" t="s">
        <v>14</v>
      </c>
      <c r="D17" s="2" t="s">
        <v>9</v>
      </c>
      <c r="E17" s="2" t="s">
        <v>17</v>
      </c>
      <c r="F17" s="3">
        <v>5</v>
      </c>
      <c r="G17" s="3">
        <v>1500</v>
      </c>
      <c r="H17" s="5">
        <f t="shared" si="0"/>
        <v>7500</v>
      </c>
    </row>
    <row r="18" spans="1:8" x14ac:dyDescent="0.25">
      <c r="A18" s="4">
        <v>17</v>
      </c>
      <c r="B18" s="1">
        <v>44213</v>
      </c>
      <c r="C18" s="2" t="s">
        <v>16</v>
      </c>
      <c r="D18" s="2" t="s">
        <v>9</v>
      </c>
      <c r="E18" s="2" t="s">
        <v>19</v>
      </c>
      <c r="F18" s="3">
        <v>4</v>
      </c>
      <c r="G18" s="3">
        <v>300</v>
      </c>
      <c r="H18" s="5">
        <f t="shared" si="0"/>
        <v>1200</v>
      </c>
    </row>
    <row r="19" spans="1:8" x14ac:dyDescent="0.25">
      <c r="A19" s="4">
        <v>18</v>
      </c>
      <c r="B19" s="1">
        <v>44214</v>
      </c>
      <c r="C19" s="2" t="s">
        <v>18</v>
      </c>
      <c r="D19" s="2" t="s">
        <v>9</v>
      </c>
      <c r="E19" s="2" t="s">
        <v>21</v>
      </c>
      <c r="F19" s="3">
        <v>3</v>
      </c>
      <c r="G19" s="3">
        <v>190</v>
      </c>
      <c r="H19" s="5">
        <f t="shared" si="0"/>
        <v>570</v>
      </c>
    </row>
    <row r="20" spans="1:8" x14ac:dyDescent="0.25">
      <c r="A20" s="4">
        <v>19</v>
      </c>
      <c r="B20" s="1">
        <v>44215</v>
      </c>
      <c r="C20" s="2" t="s">
        <v>20</v>
      </c>
      <c r="D20" s="2" t="s">
        <v>9</v>
      </c>
      <c r="E20" s="2" t="s">
        <v>10</v>
      </c>
      <c r="F20" s="3">
        <v>2</v>
      </c>
      <c r="G20" s="3">
        <v>210</v>
      </c>
      <c r="H20" s="5">
        <f t="shared" si="0"/>
        <v>420</v>
      </c>
    </row>
    <row r="21" spans="1:8" x14ac:dyDescent="0.25">
      <c r="A21" s="4">
        <v>20</v>
      </c>
      <c r="B21" s="1">
        <v>44216</v>
      </c>
      <c r="C21" s="2" t="s">
        <v>8</v>
      </c>
      <c r="D21" s="2" t="s">
        <v>9</v>
      </c>
      <c r="E21" s="2" t="s">
        <v>15</v>
      </c>
      <c r="F21" s="3">
        <v>7</v>
      </c>
      <c r="G21" s="3">
        <v>2100</v>
      </c>
      <c r="H21" s="5">
        <f t="shared" si="0"/>
        <v>14700</v>
      </c>
    </row>
    <row r="22" spans="1:8" x14ac:dyDescent="0.25">
      <c r="A22" s="4">
        <v>21</v>
      </c>
      <c r="B22" s="1">
        <v>44217</v>
      </c>
      <c r="C22" s="2" t="s">
        <v>11</v>
      </c>
      <c r="D22" s="2" t="s">
        <v>12</v>
      </c>
      <c r="E22" s="2" t="s">
        <v>17</v>
      </c>
      <c r="F22" s="3">
        <v>6</v>
      </c>
      <c r="G22" s="3">
        <v>1200</v>
      </c>
      <c r="H22" s="5">
        <f t="shared" si="0"/>
        <v>7200</v>
      </c>
    </row>
    <row r="23" spans="1:8" x14ac:dyDescent="0.25">
      <c r="A23" s="4">
        <v>22</v>
      </c>
      <c r="B23" s="1">
        <v>44218</v>
      </c>
      <c r="C23" s="2" t="s">
        <v>14</v>
      </c>
      <c r="D23" s="2" t="s">
        <v>9</v>
      </c>
      <c r="E23" s="2" t="s">
        <v>19</v>
      </c>
      <c r="F23" s="3">
        <v>5</v>
      </c>
      <c r="G23" s="3">
        <v>300</v>
      </c>
      <c r="H23" s="5">
        <f t="shared" si="0"/>
        <v>1500</v>
      </c>
    </row>
    <row r="24" spans="1:8" x14ac:dyDescent="0.25">
      <c r="A24" s="4">
        <v>23</v>
      </c>
      <c r="B24" s="1">
        <v>44219</v>
      </c>
      <c r="C24" s="2" t="s">
        <v>16</v>
      </c>
      <c r="D24" s="2" t="s">
        <v>12</v>
      </c>
      <c r="E24" s="2" t="s">
        <v>21</v>
      </c>
      <c r="F24" s="3">
        <v>4</v>
      </c>
      <c r="G24" s="3">
        <v>200</v>
      </c>
      <c r="H24" s="5">
        <f t="shared" si="0"/>
        <v>800</v>
      </c>
    </row>
    <row r="25" spans="1:8" x14ac:dyDescent="0.25">
      <c r="A25" s="4">
        <v>24</v>
      </c>
      <c r="B25" s="1">
        <v>44220</v>
      </c>
      <c r="C25" s="2" t="s">
        <v>18</v>
      </c>
      <c r="D25" s="2" t="s">
        <v>9</v>
      </c>
      <c r="E25" s="2" t="s">
        <v>10</v>
      </c>
      <c r="F25" s="3">
        <v>3</v>
      </c>
      <c r="G25" s="3">
        <v>190</v>
      </c>
      <c r="H25" s="5">
        <f t="shared" si="0"/>
        <v>570</v>
      </c>
    </row>
    <row r="26" spans="1:8" x14ac:dyDescent="0.25">
      <c r="A26" s="4">
        <v>25</v>
      </c>
      <c r="B26" s="1">
        <v>44221</v>
      </c>
      <c r="C26" s="2" t="s">
        <v>20</v>
      </c>
      <c r="D26" s="2" t="s">
        <v>9</v>
      </c>
      <c r="E26" s="2" t="s">
        <v>13</v>
      </c>
      <c r="F26" s="3">
        <v>2</v>
      </c>
      <c r="G26" s="3">
        <v>2100</v>
      </c>
      <c r="H26" s="5">
        <f t="shared" si="0"/>
        <v>4200</v>
      </c>
    </row>
    <row r="27" spans="1:8" x14ac:dyDescent="0.25">
      <c r="A27" s="4">
        <v>26</v>
      </c>
      <c r="B27" s="1">
        <v>44222</v>
      </c>
      <c r="C27" s="2" t="s">
        <v>20</v>
      </c>
      <c r="D27" s="2" t="s">
        <v>9</v>
      </c>
      <c r="E27" s="2" t="s">
        <v>10</v>
      </c>
      <c r="F27" s="3">
        <v>7</v>
      </c>
      <c r="G27" s="3">
        <v>210</v>
      </c>
      <c r="H27" s="5">
        <f t="shared" si="0"/>
        <v>1470</v>
      </c>
    </row>
    <row r="28" spans="1:8" x14ac:dyDescent="0.25">
      <c r="A28" s="4">
        <v>27</v>
      </c>
      <c r="B28" s="1">
        <v>44223</v>
      </c>
      <c r="C28" s="2" t="s">
        <v>8</v>
      </c>
      <c r="D28" s="2" t="s">
        <v>9</v>
      </c>
      <c r="E28" s="2" t="s">
        <v>13</v>
      </c>
      <c r="F28" s="3">
        <v>6</v>
      </c>
      <c r="G28" s="3">
        <v>2100</v>
      </c>
      <c r="H28" s="5">
        <f t="shared" si="0"/>
        <v>12600</v>
      </c>
    </row>
    <row r="29" spans="1:8" x14ac:dyDescent="0.25">
      <c r="A29" s="4">
        <v>28</v>
      </c>
      <c r="B29" s="1">
        <v>44224</v>
      </c>
      <c r="C29" s="2" t="s">
        <v>8</v>
      </c>
      <c r="D29" s="2" t="s">
        <v>12</v>
      </c>
      <c r="E29" s="2" t="s">
        <v>10</v>
      </c>
      <c r="F29" s="3">
        <v>7</v>
      </c>
      <c r="G29" s="3">
        <v>210</v>
      </c>
      <c r="H29" s="5">
        <f t="shared" si="0"/>
        <v>1470</v>
      </c>
    </row>
    <row r="30" spans="1:8" x14ac:dyDescent="0.25">
      <c r="A30" s="4">
        <v>29</v>
      </c>
      <c r="B30" s="1">
        <v>44225</v>
      </c>
      <c r="C30" s="2" t="s">
        <v>8</v>
      </c>
      <c r="D30" s="2" t="s">
        <v>22</v>
      </c>
      <c r="E30" s="2" t="s">
        <v>10</v>
      </c>
      <c r="F30" s="3">
        <v>7</v>
      </c>
      <c r="G30" s="3">
        <v>210</v>
      </c>
      <c r="H30" s="5">
        <f t="shared" si="0"/>
        <v>1470</v>
      </c>
    </row>
    <row r="31" spans="1:8" x14ac:dyDescent="0.25">
      <c r="A31" s="4">
        <v>30</v>
      </c>
      <c r="B31" s="1">
        <v>44226</v>
      </c>
      <c r="C31" s="2" t="s">
        <v>8</v>
      </c>
      <c r="D31" s="2" t="s">
        <v>23</v>
      </c>
      <c r="E31" s="2" t="s">
        <v>10</v>
      </c>
      <c r="F31" s="3">
        <v>7</v>
      </c>
      <c r="G31" s="3">
        <v>210</v>
      </c>
      <c r="H31" s="5">
        <f t="shared" si="0"/>
        <v>1470</v>
      </c>
    </row>
    <row r="32" spans="1:8" x14ac:dyDescent="0.25">
      <c r="A32" s="4">
        <v>31</v>
      </c>
      <c r="B32" s="1">
        <v>44227</v>
      </c>
      <c r="C32" s="2" t="s">
        <v>8</v>
      </c>
      <c r="D32" s="2" t="s">
        <v>9</v>
      </c>
      <c r="E32" s="2" t="s">
        <v>10</v>
      </c>
      <c r="F32" s="3">
        <v>7</v>
      </c>
      <c r="G32" s="3">
        <v>210</v>
      </c>
      <c r="H32" s="5">
        <f t="shared" si="0"/>
        <v>1470</v>
      </c>
    </row>
    <row r="33" spans="1:8" x14ac:dyDescent="0.25">
      <c r="A33" s="4">
        <v>32</v>
      </c>
      <c r="B33" s="1">
        <v>44228</v>
      </c>
      <c r="C33" s="2" t="s">
        <v>8</v>
      </c>
      <c r="D33" s="2" t="s">
        <v>12</v>
      </c>
      <c r="E33" s="2" t="s">
        <v>10</v>
      </c>
      <c r="F33" s="3">
        <v>7</v>
      </c>
      <c r="G33" s="3">
        <v>210</v>
      </c>
      <c r="H33" s="5">
        <f t="shared" si="0"/>
        <v>1470</v>
      </c>
    </row>
    <row r="34" spans="1:8" x14ac:dyDescent="0.25">
      <c r="A34" s="4">
        <v>33</v>
      </c>
      <c r="B34" s="1">
        <v>44229</v>
      </c>
      <c r="C34" s="2" t="s">
        <v>8</v>
      </c>
      <c r="D34" s="2" t="s">
        <v>22</v>
      </c>
      <c r="E34" s="2" t="s">
        <v>10</v>
      </c>
      <c r="F34" s="3">
        <v>7</v>
      </c>
      <c r="G34" s="3">
        <v>210</v>
      </c>
      <c r="H34" s="5">
        <f t="shared" si="0"/>
        <v>1470</v>
      </c>
    </row>
    <row r="35" spans="1:8" x14ac:dyDescent="0.25">
      <c r="A35" s="4">
        <v>34</v>
      </c>
      <c r="B35" s="1">
        <v>44230</v>
      </c>
      <c r="C35" s="2" t="s">
        <v>8</v>
      </c>
      <c r="D35" s="2" t="s">
        <v>23</v>
      </c>
      <c r="E35" s="2" t="s">
        <v>10</v>
      </c>
      <c r="F35" s="3">
        <v>7</v>
      </c>
      <c r="G35" s="3">
        <v>210</v>
      </c>
      <c r="H35" s="5">
        <f t="shared" si="0"/>
        <v>1470</v>
      </c>
    </row>
    <row r="36" spans="1:8" x14ac:dyDescent="0.25">
      <c r="A36" s="4">
        <v>35</v>
      </c>
      <c r="B36" s="1">
        <v>44231</v>
      </c>
      <c r="C36" s="2" t="s">
        <v>11</v>
      </c>
      <c r="D36" s="2" t="s">
        <v>12</v>
      </c>
      <c r="E36" s="2" t="s">
        <v>10</v>
      </c>
      <c r="F36" s="3">
        <v>7</v>
      </c>
      <c r="G36" s="3">
        <v>210</v>
      </c>
      <c r="H36" s="5">
        <f t="shared" si="0"/>
        <v>1470</v>
      </c>
    </row>
    <row r="37" spans="1:8" x14ac:dyDescent="0.25">
      <c r="A37" s="4">
        <v>36</v>
      </c>
      <c r="B37" s="1">
        <v>44232</v>
      </c>
      <c r="C37" s="2" t="s">
        <v>11</v>
      </c>
      <c r="D37" s="2" t="s">
        <v>9</v>
      </c>
      <c r="E37" s="2" t="s">
        <v>10</v>
      </c>
      <c r="F37" s="3">
        <v>7</v>
      </c>
      <c r="G37" s="3">
        <v>210</v>
      </c>
      <c r="H37" s="5">
        <f t="shared" si="0"/>
        <v>1470</v>
      </c>
    </row>
    <row r="38" spans="1:8" x14ac:dyDescent="0.25">
      <c r="A38" s="4">
        <v>37</v>
      </c>
      <c r="B38" s="1">
        <v>44233</v>
      </c>
      <c r="C38" s="2" t="s">
        <v>11</v>
      </c>
      <c r="D38" s="2" t="s">
        <v>22</v>
      </c>
      <c r="E38" s="2" t="s">
        <v>21</v>
      </c>
      <c r="F38" s="3">
        <v>2</v>
      </c>
      <c r="G38" s="3">
        <v>190</v>
      </c>
      <c r="H38" s="5">
        <f t="shared" si="0"/>
        <v>380</v>
      </c>
    </row>
    <row r="39" spans="1:8" x14ac:dyDescent="0.25">
      <c r="A39" s="4">
        <v>38</v>
      </c>
      <c r="B39" s="1">
        <v>44234</v>
      </c>
      <c r="C39" s="2" t="s">
        <v>11</v>
      </c>
      <c r="D39" s="2" t="s">
        <v>23</v>
      </c>
      <c r="E39" s="2" t="s">
        <v>10</v>
      </c>
      <c r="F39" s="3">
        <v>2</v>
      </c>
      <c r="G39" s="3">
        <v>210</v>
      </c>
      <c r="H39" s="5">
        <f t="shared" si="0"/>
        <v>420</v>
      </c>
    </row>
    <row r="40" spans="1:8" x14ac:dyDescent="0.25">
      <c r="A40" s="4">
        <v>39</v>
      </c>
      <c r="B40" s="1">
        <v>44235</v>
      </c>
      <c r="C40" s="2" t="s">
        <v>11</v>
      </c>
      <c r="D40" s="2" t="s">
        <v>12</v>
      </c>
      <c r="E40" s="2" t="s">
        <v>13</v>
      </c>
      <c r="F40" s="3">
        <v>7</v>
      </c>
      <c r="G40" s="3">
        <v>2100</v>
      </c>
      <c r="H40" s="5">
        <f t="shared" si="0"/>
        <v>14700</v>
      </c>
    </row>
    <row r="41" spans="1:8" x14ac:dyDescent="0.25">
      <c r="A41" s="4">
        <v>40</v>
      </c>
      <c r="B41" s="1">
        <v>44236</v>
      </c>
      <c r="C41" s="2" t="s">
        <v>11</v>
      </c>
      <c r="D41" s="2" t="s">
        <v>9</v>
      </c>
      <c r="E41" s="2" t="s">
        <v>15</v>
      </c>
      <c r="F41" s="3">
        <v>6</v>
      </c>
      <c r="G41" s="3">
        <v>1200</v>
      </c>
      <c r="H41" s="5">
        <f t="shared" si="0"/>
        <v>7200</v>
      </c>
    </row>
    <row r="42" spans="1:8" x14ac:dyDescent="0.25">
      <c r="A42" s="4">
        <v>41</v>
      </c>
      <c r="B42" s="1">
        <v>44237</v>
      </c>
      <c r="C42" s="2" t="s">
        <v>11</v>
      </c>
      <c r="D42" s="2" t="s">
        <v>22</v>
      </c>
      <c r="E42" s="2" t="s">
        <v>13</v>
      </c>
      <c r="F42" s="3">
        <v>7</v>
      </c>
      <c r="G42" s="3">
        <v>2100</v>
      </c>
      <c r="H42" s="5">
        <f t="shared" si="0"/>
        <v>14700</v>
      </c>
    </row>
    <row r="43" spans="1:8" x14ac:dyDescent="0.25">
      <c r="A43" s="4">
        <v>42</v>
      </c>
      <c r="B43" s="1">
        <v>44238</v>
      </c>
      <c r="C43" s="2" t="s">
        <v>11</v>
      </c>
      <c r="D43" s="2" t="s">
        <v>23</v>
      </c>
      <c r="E43" s="2" t="s">
        <v>13</v>
      </c>
      <c r="F43" s="3">
        <v>7</v>
      </c>
      <c r="G43" s="3">
        <v>2100</v>
      </c>
      <c r="H43" s="5">
        <f t="shared" si="0"/>
        <v>14700</v>
      </c>
    </row>
    <row r="44" spans="1:8" x14ac:dyDescent="0.25">
      <c r="A44" s="4">
        <v>43</v>
      </c>
      <c r="B44" s="1">
        <v>44239</v>
      </c>
      <c r="C44" s="2" t="s">
        <v>14</v>
      </c>
      <c r="D44" s="2" t="s">
        <v>23</v>
      </c>
      <c r="E44" s="2" t="s">
        <v>13</v>
      </c>
      <c r="F44" s="3">
        <v>7</v>
      </c>
      <c r="G44" s="3">
        <v>2100</v>
      </c>
      <c r="H44" s="5">
        <f t="shared" si="0"/>
        <v>14700</v>
      </c>
    </row>
    <row r="45" spans="1:8" x14ac:dyDescent="0.25">
      <c r="A45" s="4">
        <v>44</v>
      </c>
      <c r="B45" s="1">
        <v>44240</v>
      </c>
      <c r="C45" s="2" t="s">
        <v>16</v>
      </c>
      <c r="D45" s="2" t="s">
        <v>23</v>
      </c>
      <c r="E45" s="2" t="s">
        <v>13</v>
      </c>
      <c r="F45" s="3">
        <v>7</v>
      </c>
      <c r="G45" s="3">
        <v>2100</v>
      </c>
      <c r="H45" s="5">
        <f t="shared" si="0"/>
        <v>14700</v>
      </c>
    </row>
    <row r="46" spans="1:8" x14ac:dyDescent="0.25">
      <c r="A46" s="4">
        <v>45</v>
      </c>
      <c r="B46" s="1">
        <v>44241</v>
      </c>
      <c r="C46" s="2" t="s">
        <v>18</v>
      </c>
      <c r="D46" s="2" t="s">
        <v>23</v>
      </c>
      <c r="E46" s="2" t="s">
        <v>13</v>
      </c>
      <c r="F46" s="3">
        <v>7</v>
      </c>
      <c r="G46" s="3">
        <v>2100</v>
      </c>
      <c r="H46" s="5">
        <f t="shared" si="0"/>
        <v>14700</v>
      </c>
    </row>
    <row r="47" spans="1:8" x14ac:dyDescent="0.25">
      <c r="A47" s="4">
        <v>46</v>
      </c>
      <c r="B47" s="1">
        <v>44242</v>
      </c>
      <c r="C47" s="2" t="s">
        <v>20</v>
      </c>
      <c r="D47" s="2" t="s">
        <v>23</v>
      </c>
      <c r="E47" s="2" t="s">
        <v>13</v>
      </c>
      <c r="F47" s="3">
        <v>7</v>
      </c>
      <c r="G47" s="3">
        <v>2100</v>
      </c>
      <c r="H47" s="5">
        <f t="shared" si="0"/>
        <v>14700</v>
      </c>
    </row>
    <row r="48" spans="1:8" x14ac:dyDescent="0.25">
      <c r="A48" s="4">
        <v>47</v>
      </c>
      <c r="B48" s="1">
        <v>44243</v>
      </c>
      <c r="C48" s="2" t="s">
        <v>20</v>
      </c>
      <c r="D48" s="2" t="s">
        <v>9</v>
      </c>
      <c r="E48" s="2" t="s">
        <v>13</v>
      </c>
      <c r="F48" s="3">
        <v>7</v>
      </c>
      <c r="G48" s="3">
        <v>2100</v>
      </c>
      <c r="H48" s="5">
        <f t="shared" si="0"/>
        <v>14700</v>
      </c>
    </row>
    <row r="49" spans="1:8" x14ac:dyDescent="0.25">
      <c r="A49" s="4">
        <v>48</v>
      </c>
      <c r="B49" s="1">
        <v>44244</v>
      </c>
      <c r="C49" s="2" t="s">
        <v>20</v>
      </c>
      <c r="D49" s="2" t="s">
        <v>12</v>
      </c>
      <c r="E49" s="2" t="s">
        <v>13</v>
      </c>
      <c r="F49" s="3">
        <v>7</v>
      </c>
      <c r="G49" s="3">
        <v>2100</v>
      </c>
      <c r="H49" s="5">
        <f t="shared" si="0"/>
        <v>14700</v>
      </c>
    </row>
    <row r="50" spans="1:8" x14ac:dyDescent="0.25">
      <c r="A50" s="4">
        <v>49</v>
      </c>
      <c r="B50" s="1">
        <v>44245</v>
      </c>
      <c r="C50" s="2" t="s">
        <v>20</v>
      </c>
      <c r="D50" s="2" t="s">
        <v>22</v>
      </c>
      <c r="E50" s="2" t="s">
        <v>13</v>
      </c>
      <c r="F50" s="3">
        <v>7</v>
      </c>
      <c r="G50" s="3">
        <v>2100</v>
      </c>
      <c r="H50" s="5">
        <f t="shared" si="0"/>
        <v>14700</v>
      </c>
    </row>
    <row r="51" spans="1:8" x14ac:dyDescent="0.25">
      <c r="A51" s="4">
        <v>50</v>
      </c>
      <c r="B51" s="1">
        <v>44246</v>
      </c>
      <c r="C51" s="2" t="s">
        <v>20</v>
      </c>
      <c r="D51" s="2" t="s">
        <v>23</v>
      </c>
      <c r="E51" s="2" t="s">
        <v>13</v>
      </c>
      <c r="F51" s="3">
        <v>7</v>
      </c>
      <c r="G51" s="3">
        <v>2100</v>
      </c>
      <c r="H51" s="5">
        <f t="shared" si="0"/>
        <v>14700</v>
      </c>
    </row>
    <row r="52" spans="1:8" x14ac:dyDescent="0.25">
      <c r="A52" s="4">
        <v>51</v>
      </c>
      <c r="B52" s="1">
        <v>44247</v>
      </c>
      <c r="C52" s="2" t="s">
        <v>20</v>
      </c>
      <c r="D52" s="2" t="s">
        <v>9</v>
      </c>
      <c r="E52" s="2" t="s">
        <v>10</v>
      </c>
      <c r="F52" s="3">
        <v>7</v>
      </c>
      <c r="G52" s="3">
        <v>210</v>
      </c>
      <c r="H52" s="5">
        <f t="shared" si="0"/>
        <v>1470</v>
      </c>
    </row>
    <row r="53" spans="1:8" x14ac:dyDescent="0.25">
      <c r="A53" s="4">
        <v>52</v>
      </c>
      <c r="B53" s="1">
        <v>44248</v>
      </c>
      <c r="C53" s="2" t="s">
        <v>20</v>
      </c>
      <c r="D53" s="2" t="s">
        <v>12</v>
      </c>
      <c r="E53" s="2" t="s">
        <v>13</v>
      </c>
      <c r="F53" s="3">
        <v>6</v>
      </c>
      <c r="G53" s="3">
        <v>2100</v>
      </c>
      <c r="H53" s="5">
        <f t="shared" si="0"/>
        <v>12600</v>
      </c>
    </row>
    <row r="54" spans="1:8" x14ac:dyDescent="0.25">
      <c r="A54" s="4">
        <v>53</v>
      </c>
      <c r="B54" s="1">
        <v>44249</v>
      </c>
      <c r="C54" s="2" t="s">
        <v>20</v>
      </c>
      <c r="D54" s="2" t="s">
        <v>22</v>
      </c>
      <c r="E54" s="2" t="s">
        <v>15</v>
      </c>
      <c r="F54" s="3">
        <v>5</v>
      </c>
      <c r="G54" s="3">
        <v>1200</v>
      </c>
      <c r="H54" s="5">
        <f t="shared" si="0"/>
        <v>6000</v>
      </c>
    </row>
    <row r="55" spans="1:8" x14ac:dyDescent="0.25">
      <c r="A55" s="4">
        <v>54</v>
      </c>
      <c r="B55" s="1">
        <v>44250</v>
      </c>
      <c r="C55" s="2" t="s">
        <v>20</v>
      </c>
      <c r="D55" s="2" t="s">
        <v>23</v>
      </c>
      <c r="E55" s="2" t="s">
        <v>17</v>
      </c>
      <c r="F55" s="3">
        <v>4</v>
      </c>
      <c r="G55" s="3">
        <v>1500</v>
      </c>
      <c r="H55" s="5">
        <f t="shared" si="0"/>
        <v>6000</v>
      </c>
    </row>
    <row r="56" spans="1:8" x14ac:dyDescent="0.25">
      <c r="A56" s="4">
        <v>55</v>
      </c>
      <c r="B56" s="1">
        <v>44251</v>
      </c>
      <c r="C56" s="2" t="s">
        <v>8</v>
      </c>
      <c r="D56" s="2" t="s">
        <v>9</v>
      </c>
      <c r="E56" s="2" t="s">
        <v>19</v>
      </c>
      <c r="F56" s="3">
        <v>3</v>
      </c>
      <c r="G56" s="3">
        <v>300</v>
      </c>
      <c r="H56" s="5">
        <f t="shared" si="0"/>
        <v>900</v>
      </c>
    </row>
    <row r="57" spans="1:8" x14ac:dyDescent="0.25">
      <c r="A57" s="4">
        <v>56</v>
      </c>
      <c r="B57" s="1">
        <v>44252</v>
      </c>
      <c r="C57" s="2" t="s">
        <v>11</v>
      </c>
      <c r="D57" s="2" t="s">
        <v>12</v>
      </c>
      <c r="E57" s="2" t="s">
        <v>21</v>
      </c>
      <c r="F57" s="3">
        <v>2</v>
      </c>
      <c r="G57" s="3">
        <v>190</v>
      </c>
      <c r="H57" s="5">
        <f t="shared" si="0"/>
        <v>380</v>
      </c>
    </row>
    <row r="58" spans="1:8" x14ac:dyDescent="0.25">
      <c r="A58" s="4">
        <v>57</v>
      </c>
      <c r="B58" s="1">
        <v>44253</v>
      </c>
      <c r="C58" s="2" t="s">
        <v>14</v>
      </c>
      <c r="D58" s="2" t="s">
        <v>9</v>
      </c>
      <c r="E58" s="2" t="s">
        <v>10</v>
      </c>
      <c r="F58" s="3">
        <v>7</v>
      </c>
      <c r="G58" s="3">
        <v>210</v>
      </c>
      <c r="H58" s="5">
        <f t="shared" si="0"/>
        <v>1470</v>
      </c>
    </row>
    <row r="59" spans="1:8" x14ac:dyDescent="0.25">
      <c r="A59" s="4">
        <v>58</v>
      </c>
      <c r="B59" s="1">
        <v>44254</v>
      </c>
      <c r="C59" s="2" t="s">
        <v>16</v>
      </c>
      <c r="D59" s="2" t="s">
        <v>12</v>
      </c>
      <c r="E59" s="2" t="s">
        <v>13</v>
      </c>
      <c r="F59" s="3">
        <v>6</v>
      </c>
      <c r="G59" s="3">
        <v>2100</v>
      </c>
      <c r="H59" s="5">
        <f t="shared" si="0"/>
        <v>12600</v>
      </c>
    </row>
    <row r="60" spans="1:8" x14ac:dyDescent="0.25">
      <c r="A60" s="4">
        <v>59</v>
      </c>
      <c r="B60" s="1">
        <v>44255</v>
      </c>
      <c r="C60" s="2" t="s">
        <v>18</v>
      </c>
      <c r="D60" s="2" t="s">
        <v>9</v>
      </c>
      <c r="E60" s="2" t="s">
        <v>15</v>
      </c>
      <c r="F60" s="3">
        <v>5</v>
      </c>
      <c r="G60" s="3">
        <v>1200</v>
      </c>
      <c r="H60" s="5">
        <f t="shared" si="0"/>
        <v>6000</v>
      </c>
    </row>
    <row r="61" spans="1:8" x14ac:dyDescent="0.25">
      <c r="A61" s="4">
        <v>60</v>
      </c>
      <c r="B61" s="1">
        <v>44256</v>
      </c>
      <c r="C61" s="2" t="s">
        <v>20</v>
      </c>
      <c r="D61" s="2" t="s">
        <v>9</v>
      </c>
      <c r="E61" s="2" t="s">
        <v>17</v>
      </c>
      <c r="F61" s="3">
        <v>4</v>
      </c>
      <c r="G61" s="3">
        <v>1500</v>
      </c>
      <c r="H61" s="5">
        <f t="shared" si="0"/>
        <v>6000</v>
      </c>
    </row>
    <row r="62" spans="1:8" x14ac:dyDescent="0.25">
      <c r="A62" s="4">
        <v>61</v>
      </c>
      <c r="B62" s="1">
        <v>44257</v>
      </c>
      <c r="C62" s="2" t="s">
        <v>8</v>
      </c>
      <c r="D62" s="2" t="s">
        <v>9</v>
      </c>
      <c r="E62" s="2" t="s">
        <v>19</v>
      </c>
      <c r="F62" s="3">
        <v>3</v>
      </c>
      <c r="G62" s="3">
        <v>300</v>
      </c>
      <c r="H62" s="5">
        <f t="shared" si="0"/>
        <v>900</v>
      </c>
    </row>
    <row r="63" spans="1:8" x14ac:dyDescent="0.25">
      <c r="A63" s="4">
        <v>62</v>
      </c>
      <c r="B63" s="1">
        <v>44258</v>
      </c>
      <c r="C63" s="2" t="s">
        <v>11</v>
      </c>
      <c r="D63" s="2" t="s">
        <v>12</v>
      </c>
      <c r="E63" s="2" t="s">
        <v>21</v>
      </c>
      <c r="F63" s="3">
        <v>2</v>
      </c>
      <c r="G63" s="3">
        <v>190</v>
      </c>
      <c r="H63" s="5">
        <f t="shared" si="0"/>
        <v>380</v>
      </c>
    </row>
    <row r="64" spans="1:8" x14ac:dyDescent="0.25">
      <c r="A64" s="4">
        <v>63</v>
      </c>
      <c r="B64" s="1">
        <v>44259</v>
      </c>
      <c r="C64" s="2" t="s">
        <v>14</v>
      </c>
      <c r="D64" s="2" t="s">
        <v>12</v>
      </c>
      <c r="E64" s="2" t="s">
        <v>10</v>
      </c>
      <c r="F64" s="3">
        <v>2</v>
      </c>
      <c r="G64" s="3">
        <v>210</v>
      </c>
      <c r="H64" s="5">
        <f t="shared" si="0"/>
        <v>420</v>
      </c>
    </row>
    <row r="65" spans="1:8" x14ac:dyDescent="0.25">
      <c r="A65" s="4">
        <v>64</v>
      </c>
      <c r="B65" s="1">
        <v>44260</v>
      </c>
      <c r="C65" s="2" t="s">
        <v>16</v>
      </c>
      <c r="D65" s="2" t="s">
        <v>9</v>
      </c>
      <c r="E65" s="2" t="s">
        <v>13</v>
      </c>
      <c r="F65" s="3">
        <v>7</v>
      </c>
      <c r="G65" s="3">
        <v>2100</v>
      </c>
      <c r="H65" s="5">
        <f t="shared" si="0"/>
        <v>14700</v>
      </c>
    </row>
    <row r="66" spans="1:8" x14ac:dyDescent="0.25">
      <c r="A66" s="4">
        <v>65</v>
      </c>
      <c r="B66" s="1">
        <v>44261</v>
      </c>
      <c r="C66" s="2" t="s">
        <v>18</v>
      </c>
      <c r="D66" s="2" t="s">
        <v>9</v>
      </c>
      <c r="E66" s="2" t="s">
        <v>15</v>
      </c>
      <c r="F66" s="3">
        <v>6</v>
      </c>
      <c r="G66" s="3">
        <v>1200</v>
      </c>
      <c r="H66" s="5">
        <f t="shared" si="0"/>
        <v>7200</v>
      </c>
    </row>
    <row r="67" spans="1:8" x14ac:dyDescent="0.25">
      <c r="A67" s="4">
        <v>66</v>
      </c>
      <c r="B67" s="1">
        <v>44262</v>
      </c>
      <c r="C67" s="2" t="s">
        <v>20</v>
      </c>
      <c r="D67" s="2" t="s">
        <v>12</v>
      </c>
      <c r="E67" s="2" t="s">
        <v>17</v>
      </c>
      <c r="F67" s="3">
        <v>5</v>
      </c>
      <c r="G67" s="3">
        <v>1500</v>
      </c>
      <c r="H67" s="5">
        <f t="shared" ref="H67:H130" si="1">F67*G67</f>
        <v>7500</v>
      </c>
    </row>
    <row r="68" spans="1:8" x14ac:dyDescent="0.25">
      <c r="A68" s="4">
        <v>67</v>
      </c>
      <c r="B68" s="1">
        <v>44263</v>
      </c>
      <c r="C68" s="2" t="s">
        <v>20</v>
      </c>
      <c r="D68" s="2" t="s">
        <v>9</v>
      </c>
      <c r="E68" s="2" t="s">
        <v>19</v>
      </c>
      <c r="F68" s="3">
        <v>4</v>
      </c>
      <c r="G68" s="3">
        <v>300</v>
      </c>
      <c r="H68" s="5">
        <f t="shared" si="1"/>
        <v>1200</v>
      </c>
    </row>
    <row r="69" spans="1:8" x14ac:dyDescent="0.25">
      <c r="A69" s="4">
        <v>68</v>
      </c>
      <c r="B69" s="1">
        <v>44264</v>
      </c>
      <c r="C69" s="2" t="s">
        <v>8</v>
      </c>
      <c r="D69" s="2" t="s">
        <v>9</v>
      </c>
      <c r="E69" s="2" t="s">
        <v>21</v>
      </c>
      <c r="F69" s="3">
        <v>3</v>
      </c>
      <c r="G69" s="3">
        <v>190</v>
      </c>
      <c r="H69" s="5">
        <f t="shared" si="1"/>
        <v>570</v>
      </c>
    </row>
    <row r="70" spans="1:8" x14ac:dyDescent="0.25">
      <c r="A70" s="4">
        <v>69</v>
      </c>
      <c r="B70" s="1">
        <v>44265</v>
      </c>
      <c r="C70" s="2" t="s">
        <v>11</v>
      </c>
      <c r="D70" s="2" t="s">
        <v>9</v>
      </c>
      <c r="E70" s="2" t="s">
        <v>10</v>
      </c>
      <c r="F70" s="3">
        <v>2</v>
      </c>
      <c r="G70" s="3">
        <v>210</v>
      </c>
      <c r="H70" s="5">
        <f t="shared" si="1"/>
        <v>420</v>
      </c>
    </row>
    <row r="71" spans="1:8" x14ac:dyDescent="0.25">
      <c r="A71" s="4">
        <v>70</v>
      </c>
      <c r="B71" s="1">
        <v>44266</v>
      </c>
      <c r="C71" s="2" t="s">
        <v>14</v>
      </c>
      <c r="D71" s="2" t="s">
        <v>9</v>
      </c>
      <c r="E71" s="2" t="s">
        <v>21</v>
      </c>
      <c r="F71" s="3">
        <v>3</v>
      </c>
      <c r="G71" s="3">
        <v>190</v>
      </c>
      <c r="H71" s="5">
        <f t="shared" si="1"/>
        <v>570</v>
      </c>
    </row>
    <row r="72" spans="1:8" x14ac:dyDescent="0.25">
      <c r="A72" s="4">
        <v>71</v>
      </c>
      <c r="B72" s="1">
        <v>44267</v>
      </c>
      <c r="C72" s="2" t="s">
        <v>16</v>
      </c>
      <c r="D72" s="2" t="s">
        <v>9</v>
      </c>
      <c r="E72" s="2" t="s">
        <v>10</v>
      </c>
      <c r="F72" s="3">
        <v>2</v>
      </c>
      <c r="G72" s="3">
        <v>210</v>
      </c>
      <c r="H72" s="5">
        <f t="shared" si="1"/>
        <v>420</v>
      </c>
    </row>
    <row r="73" spans="1:8" x14ac:dyDescent="0.25">
      <c r="A73" s="4">
        <v>72</v>
      </c>
      <c r="B73" s="1">
        <v>44268</v>
      </c>
      <c r="C73" s="2" t="s">
        <v>18</v>
      </c>
      <c r="D73" s="2" t="s">
        <v>9</v>
      </c>
      <c r="E73" s="2" t="s">
        <v>21</v>
      </c>
      <c r="F73" s="3">
        <v>3</v>
      </c>
      <c r="G73" s="3">
        <v>190</v>
      </c>
      <c r="H73" s="5">
        <f t="shared" si="1"/>
        <v>570</v>
      </c>
    </row>
    <row r="74" spans="1:8" x14ac:dyDescent="0.25">
      <c r="A74" s="4">
        <v>73</v>
      </c>
      <c r="B74" s="1">
        <v>44269</v>
      </c>
      <c r="C74" s="2" t="s">
        <v>20</v>
      </c>
      <c r="D74" s="2" t="s">
        <v>9</v>
      </c>
      <c r="E74" s="2" t="s">
        <v>10</v>
      </c>
      <c r="F74" s="3">
        <v>2</v>
      </c>
      <c r="G74" s="3">
        <v>210</v>
      </c>
      <c r="H74" s="5">
        <f t="shared" si="1"/>
        <v>420</v>
      </c>
    </row>
    <row r="75" spans="1:8" x14ac:dyDescent="0.25">
      <c r="A75" s="4">
        <v>74</v>
      </c>
      <c r="B75" s="1">
        <v>44270</v>
      </c>
      <c r="C75" s="2" t="s">
        <v>8</v>
      </c>
      <c r="D75" s="2" t="s">
        <v>9</v>
      </c>
      <c r="E75" s="2" t="s">
        <v>21</v>
      </c>
      <c r="F75" s="3">
        <v>3</v>
      </c>
      <c r="G75" s="3">
        <v>190</v>
      </c>
      <c r="H75" s="5">
        <f t="shared" si="1"/>
        <v>570</v>
      </c>
    </row>
    <row r="76" spans="1:8" x14ac:dyDescent="0.25">
      <c r="A76" s="4">
        <v>75</v>
      </c>
      <c r="B76" s="1">
        <v>44271</v>
      </c>
      <c r="C76" s="2" t="s">
        <v>11</v>
      </c>
      <c r="D76" s="2" t="s">
        <v>12</v>
      </c>
      <c r="E76" s="2" t="s">
        <v>10</v>
      </c>
      <c r="F76" s="3">
        <v>2</v>
      </c>
      <c r="G76" s="3">
        <v>210</v>
      </c>
      <c r="H76" s="5">
        <f t="shared" si="1"/>
        <v>420</v>
      </c>
    </row>
    <row r="77" spans="1:8" x14ac:dyDescent="0.25">
      <c r="A77" s="4">
        <v>76</v>
      </c>
      <c r="B77" s="1">
        <v>44272</v>
      </c>
      <c r="C77" s="2" t="s">
        <v>14</v>
      </c>
      <c r="D77" s="2" t="s">
        <v>9</v>
      </c>
      <c r="E77" s="2" t="s">
        <v>21</v>
      </c>
      <c r="F77" s="3">
        <v>3</v>
      </c>
      <c r="G77" s="3">
        <v>190</v>
      </c>
      <c r="H77" s="5">
        <f t="shared" si="1"/>
        <v>570</v>
      </c>
    </row>
    <row r="78" spans="1:8" x14ac:dyDescent="0.25">
      <c r="A78" s="4">
        <v>77</v>
      </c>
      <c r="B78" s="1">
        <v>44273</v>
      </c>
      <c r="C78" s="2" t="s">
        <v>16</v>
      </c>
      <c r="D78" s="2" t="s">
        <v>12</v>
      </c>
      <c r="E78" s="2" t="s">
        <v>10</v>
      </c>
      <c r="F78" s="3">
        <v>2</v>
      </c>
      <c r="G78" s="3">
        <v>210</v>
      </c>
      <c r="H78" s="5">
        <f t="shared" si="1"/>
        <v>420</v>
      </c>
    </row>
    <row r="79" spans="1:8" x14ac:dyDescent="0.25">
      <c r="A79" s="4">
        <v>78</v>
      </c>
      <c r="B79" s="1">
        <v>44274</v>
      </c>
      <c r="C79" s="2" t="s">
        <v>18</v>
      </c>
      <c r="D79" s="2" t="s">
        <v>9</v>
      </c>
      <c r="E79" s="2" t="s">
        <v>15</v>
      </c>
      <c r="F79" s="3">
        <v>5</v>
      </c>
      <c r="G79" s="3">
        <v>1200</v>
      </c>
      <c r="H79" s="5">
        <f t="shared" si="1"/>
        <v>6000</v>
      </c>
    </row>
    <row r="80" spans="1:8" x14ac:dyDescent="0.25">
      <c r="A80" s="4">
        <v>79</v>
      </c>
      <c r="B80" s="1">
        <v>44275</v>
      </c>
      <c r="C80" s="2" t="s">
        <v>20</v>
      </c>
      <c r="D80" s="2" t="s">
        <v>9</v>
      </c>
      <c r="E80" s="2" t="s">
        <v>17</v>
      </c>
      <c r="F80" s="3">
        <v>4</v>
      </c>
      <c r="G80" s="3">
        <v>1500</v>
      </c>
      <c r="H80" s="5">
        <f t="shared" si="1"/>
        <v>6000</v>
      </c>
    </row>
    <row r="81" spans="1:8" x14ac:dyDescent="0.25">
      <c r="A81" s="4">
        <v>80</v>
      </c>
      <c r="B81" s="1">
        <v>44276</v>
      </c>
      <c r="C81" s="2" t="s">
        <v>20</v>
      </c>
      <c r="D81" s="2" t="s">
        <v>9</v>
      </c>
      <c r="E81" s="2" t="s">
        <v>19</v>
      </c>
      <c r="F81" s="3">
        <v>3</v>
      </c>
      <c r="G81" s="3">
        <v>300</v>
      </c>
      <c r="H81" s="5">
        <f t="shared" si="1"/>
        <v>900</v>
      </c>
    </row>
    <row r="82" spans="1:8" x14ac:dyDescent="0.25">
      <c r="A82" s="4">
        <v>81</v>
      </c>
      <c r="B82" s="1">
        <v>44277</v>
      </c>
      <c r="C82" s="2" t="s">
        <v>8</v>
      </c>
      <c r="D82" s="2" t="s">
        <v>9</v>
      </c>
      <c r="E82" s="2" t="s">
        <v>21</v>
      </c>
      <c r="F82" s="3">
        <v>2</v>
      </c>
      <c r="G82" s="3">
        <v>190</v>
      </c>
      <c r="H82" s="5">
        <f t="shared" si="1"/>
        <v>380</v>
      </c>
    </row>
    <row r="83" spans="1:8" x14ac:dyDescent="0.25">
      <c r="A83" s="4">
        <v>82</v>
      </c>
      <c r="B83" s="1">
        <v>44278</v>
      </c>
      <c r="C83" s="2" t="s">
        <v>8</v>
      </c>
      <c r="D83" s="2" t="s">
        <v>12</v>
      </c>
      <c r="E83" s="2" t="s">
        <v>10</v>
      </c>
      <c r="F83" s="3">
        <v>7</v>
      </c>
      <c r="G83" s="3">
        <v>210</v>
      </c>
      <c r="H83" s="5">
        <f t="shared" si="1"/>
        <v>1470</v>
      </c>
    </row>
    <row r="84" spans="1:8" x14ac:dyDescent="0.25">
      <c r="A84" s="4">
        <v>83</v>
      </c>
      <c r="B84" s="1">
        <v>44279</v>
      </c>
      <c r="C84" s="2" t="s">
        <v>8</v>
      </c>
      <c r="D84" s="2" t="s">
        <v>22</v>
      </c>
      <c r="E84" s="2" t="s">
        <v>13</v>
      </c>
      <c r="F84" s="3">
        <v>6</v>
      </c>
      <c r="G84" s="3">
        <v>2100</v>
      </c>
      <c r="H84" s="5">
        <f t="shared" si="1"/>
        <v>12600</v>
      </c>
    </row>
    <row r="85" spans="1:8" x14ac:dyDescent="0.25">
      <c r="A85" s="4">
        <v>84</v>
      </c>
      <c r="B85" s="1">
        <v>44280</v>
      </c>
      <c r="C85" s="2" t="s">
        <v>8</v>
      </c>
      <c r="D85" s="2" t="s">
        <v>23</v>
      </c>
      <c r="E85" s="2" t="s">
        <v>15</v>
      </c>
      <c r="F85" s="3">
        <v>5</v>
      </c>
      <c r="G85" s="3">
        <v>1200</v>
      </c>
      <c r="H85" s="5">
        <f t="shared" si="1"/>
        <v>6000</v>
      </c>
    </row>
    <row r="86" spans="1:8" x14ac:dyDescent="0.25">
      <c r="A86" s="4">
        <v>85</v>
      </c>
      <c r="B86" s="1">
        <v>44281</v>
      </c>
      <c r="C86" s="2" t="s">
        <v>8</v>
      </c>
      <c r="D86" s="2" t="s">
        <v>9</v>
      </c>
      <c r="E86" s="2" t="s">
        <v>17</v>
      </c>
      <c r="F86" s="3">
        <v>4</v>
      </c>
      <c r="G86" s="3">
        <v>1500</v>
      </c>
      <c r="H86" s="5">
        <f t="shared" si="1"/>
        <v>6000</v>
      </c>
    </row>
    <row r="87" spans="1:8" x14ac:dyDescent="0.25">
      <c r="A87" s="4">
        <v>86</v>
      </c>
      <c r="B87" s="1">
        <v>44282</v>
      </c>
      <c r="C87" s="2" t="s">
        <v>8</v>
      </c>
      <c r="D87" s="2" t="s">
        <v>12</v>
      </c>
      <c r="E87" s="2" t="s">
        <v>19</v>
      </c>
      <c r="F87" s="3">
        <v>3</v>
      </c>
      <c r="G87" s="3">
        <v>300</v>
      </c>
      <c r="H87" s="5">
        <f t="shared" si="1"/>
        <v>900</v>
      </c>
    </row>
    <row r="88" spans="1:8" x14ac:dyDescent="0.25">
      <c r="A88" s="4">
        <v>87</v>
      </c>
      <c r="B88" s="1">
        <v>44283</v>
      </c>
      <c r="C88" s="2" t="s">
        <v>8</v>
      </c>
      <c r="D88" s="2" t="s">
        <v>22</v>
      </c>
      <c r="E88" s="2" t="s">
        <v>21</v>
      </c>
      <c r="F88" s="3">
        <v>2</v>
      </c>
      <c r="G88" s="3">
        <v>190</v>
      </c>
      <c r="H88" s="5">
        <f t="shared" si="1"/>
        <v>380</v>
      </c>
    </row>
    <row r="89" spans="1:8" x14ac:dyDescent="0.25">
      <c r="A89" s="4">
        <v>88</v>
      </c>
      <c r="B89" s="1">
        <v>44284</v>
      </c>
      <c r="C89" s="2" t="s">
        <v>8</v>
      </c>
      <c r="D89" s="2" t="s">
        <v>23</v>
      </c>
      <c r="E89" s="2" t="s">
        <v>10</v>
      </c>
      <c r="F89" s="3">
        <v>2</v>
      </c>
      <c r="G89" s="3">
        <v>210</v>
      </c>
      <c r="H89" s="5">
        <f t="shared" si="1"/>
        <v>420</v>
      </c>
    </row>
    <row r="90" spans="1:8" x14ac:dyDescent="0.25">
      <c r="A90" s="4">
        <v>89</v>
      </c>
      <c r="B90" s="1">
        <v>44285</v>
      </c>
      <c r="C90" s="2" t="s">
        <v>11</v>
      </c>
      <c r="D90" s="2" t="s">
        <v>12</v>
      </c>
      <c r="E90" s="2" t="s">
        <v>19</v>
      </c>
      <c r="F90" s="3">
        <v>3</v>
      </c>
      <c r="G90" s="3">
        <v>300</v>
      </c>
      <c r="H90" s="5">
        <f t="shared" si="1"/>
        <v>900</v>
      </c>
    </row>
    <row r="91" spans="1:8" x14ac:dyDescent="0.25">
      <c r="A91" s="4">
        <v>90</v>
      </c>
      <c r="B91" s="1">
        <v>44286</v>
      </c>
      <c r="C91" s="2" t="s">
        <v>11</v>
      </c>
      <c r="D91" s="2" t="s">
        <v>9</v>
      </c>
      <c r="E91" s="2" t="s">
        <v>19</v>
      </c>
      <c r="F91" s="3">
        <v>3</v>
      </c>
      <c r="G91" s="3">
        <v>300</v>
      </c>
      <c r="H91" s="5">
        <f t="shared" si="1"/>
        <v>900</v>
      </c>
    </row>
    <row r="92" spans="1:8" x14ac:dyDescent="0.25">
      <c r="A92" s="4">
        <v>91</v>
      </c>
      <c r="B92" s="1">
        <v>44287</v>
      </c>
      <c r="C92" s="2" t="s">
        <v>11</v>
      </c>
      <c r="D92" s="2" t="s">
        <v>22</v>
      </c>
      <c r="E92" s="2" t="s">
        <v>19</v>
      </c>
      <c r="F92" s="3">
        <v>3</v>
      </c>
      <c r="G92" s="3">
        <v>300</v>
      </c>
      <c r="H92" s="5">
        <f t="shared" si="1"/>
        <v>900</v>
      </c>
    </row>
    <row r="93" spans="1:8" x14ac:dyDescent="0.25">
      <c r="A93" s="4">
        <v>92</v>
      </c>
      <c r="B93" s="1">
        <v>44288</v>
      </c>
      <c r="C93" s="2" t="s">
        <v>11</v>
      </c>
      <c r="D93" s="2" t="s">
        <v>23</v>
      </c>
      <c r="E93" s="2" t="s">
        <v>19</v>
      </c>
      <c r="F93" s="3">
        <v>3</v>
      </c>
      <c r="G93" s="3">
        <v>300</v>
      </c>
      <c r="H93" s="5">
        <f t="shared" si="1"/>
        <v>900</v>
      </c>
    </row>
    <row r="94" spans="1:8" x14ac:dyDescent="0.25">
      <c r="A94" s="4">
        <v>93</v>
      </c>
      <c r="B94" s="1">
        <v>44289</v>
      </c>
      <c r="C94" s="2" t="s">
        <v>11</v>
      </c>
      <c r="D94" s="2" t="s">
        <v>12</v>
      </c>
      <c r="E94" s="2" t="s">
        <v>19</v>
      </c>
      <c r="F94" s="3">
        <v>3</v>
      </c>
      <c r="G94" s="3">
        <v>300</v>
      </c>
      <c r="H94" s="5">
        <f t="shared" si="1"/>
        <v>900</v>
      </c>
    </row>
    <row r="95" spans="1:8" x14ac:dyDescent="0.25">
      <c r="A95" s="4">
        <v>94</v>
      </c>
      <c r="B95" s="1">
        <v>44290</v>
      </c>
      <c r="C95" s="2" t="s">
        <v>11</v>
      </c>
      <c r="D95" s="2" t="s">
        <v>9</v>
      </c>
      <c r="E95" s="2" t="s">
        <v>19</v>
      </c>
      <c r="F95" s="3">
        <v>3</v>
      </c>
      <c r="G95" s="3">
        <v>300</v>
      </c>
      <c r="H95" s="5">
        <f t="shared" si="1"/>
        <v>900</v>
      </c>
    </row>
    <row r="96" spans="1:8" x14ac:dyDescent="0.25">
      <c r="A96" s="4">
        <v>95</v>
      </c>
      <c r="B96" s="1">
        <v>44291</v>
      </c>
      <c r="C96" s="2" t="s">
        <v>11</v>
      </c>
      <c r="D96" s="2" t="s">
        <v>22</v>
      </c>
      <c r="E96" s="2" t="s">
        <v>19</v>
      </c>
      <c r="F96" s="3">
        <v>3</v>
      </c>
      <c r="G96" s="3">
        <v>300</v>
      </c>
      <c r="H96" s="5">
        <f t="shared" si="1"/>
        <v>900</v>
      </c>
    </row>
    <row r="97" spans="1:8" x14ac:dyDescent="0.25">
      <c r="A97" s="4">
        <v>96</v>
      </c>
      <c r="B97" s="1">
        <v>44292</v>
      </c>
      <c r="C97" s="2" t="s">
        <v>11</v>
      </c>
      <c r="D97" s="2" t="s">
        <v>23</v>
      </c>
      <c r="E97" s="2" t="s">
        <v>19</v>
      </c>
      <c r="F97" s="3">
        <v>3</v>
      </c>
      <c r="G97" s="3">
        <v>300</v>
      </c>
      <c r="H97" s="5">
        <f t="shared" si="1"/>
        <v>900</v>
      </c>
    </row>
    <row r="98" spans="1:8" x14ac:dyDescent="0.25">
      <c r="A98" s="4">
        <v>97</v>
      </c>
      <c r="B98" s="1">
        <v>44293</v>
      </c>
      <c r="C98" s="2" t="s">
        <v>14</v>
      </c>
      <c r="D98" s="2" t="s">
        <v>23</v>
      </c>
      <c r="E98" s="2" t="s">
        <v>19</v>
      </c>
      <c r="F98" s="3">
        <v>3</v>
      </c>
      <c r="G98" s="3">
        <v>300</v>
      </c>
      <c r="H98" s="5">
        <f t="shared" si="1"/>
        <v>900</v>
      </c>
    </row>
    <row r="99" spans="1:8" x14ac:dyDescent="0.25">
      <c r="A99" s="4">
        <v>98</v>
      </c>
      <c r="B99" s="1">
        <v>44294</v>
      </c>
      <c r="C99" s="2" t="s">
        <v>16</v>
      </c>
      <c r="D99" s="2" t="s">
        <v>23</v>
      </c>
      <c r="E99" s="2" t="s">
        <v>19</v>
      </c>
      <c r="F99" s="3">
        <v>3</v>
      </c>
      <c r="G99" s="3">
        <v>300</v>
      </c>
      <c r="H99" s="5">
        <f t="shared" si="1"/>
        <v>900</v>
      </c>
    </row>
    <row r="100" spans="1:8" x14ac:dyDescent="0.25">
      <c r="A100" s="4">
        <v>99</v>
      </c>
      <c r="B100" s="1">
        <v>44295</v>
      </c>
      <c r="C100" s="2" t="s">
        <v>18</v>
      </c>
      <c r="D100" s="2" t="s">
        <v>23</v>
      </c>
      <c r="E100" s="2" t="s">
        <v>10</v>
      </c>
      <c r="F100" s="3">
        <v>3</v>
      </c>
      <c r="G100" s="3">
        <v>190</v>
      </c>
      <c r="H100" s="5">
        <f t="shared" si="1"/>
        <v>570</v>
      </c>
    </row>
    <row r="101" spans="1:8" x14ac:dyDescent="0.25">
      <c r="A101" s="4">
        <v>100</v>
      </c>
      <c r="B101" s="1">
        <v>44296</v>
      </c>
      <c r="C101" s="2" t="s">
        <v>20</v>
      </c>
      <c r="D101" s="2" t="s">
        <v>23</v>
      </c>
      <c r="E101" s="2" t="s">
        <v>13</v>
      </c>
      <c r="F101" s="3">
        <v>2</v>
      </c>
      <c r="G101" s="3">
        <v>2100</v>
      </c>
      <c r="H101" s="5">
        <f t="shared" si="1"/>
        <v>4200</v>
      </c>
    </row>
    <row r="102" spans="1:8" x14ac:dyDescent="0.25">
      <c r="A102" s="4">
        <v>101</v>
      </c>
      <c r="B102" s="1">
        <v>44297</v>
      </c>
      <c r="C102" s="2" t="s">
        <v>20</v>
      </c>
      <c r="D102" s="2" t="s">
        <v>9</v>
      </c>
      <c r="E102" s="2" t="s">
        <v>10</v>
      </c>
      <c r="F102" s="3">
        <v>7</v>
      </c>
      <c r="G102" s="3">
        <v>210</v>
      </c>
      <c r="H102" s="5">
        <f t="shared" si="1"/>
        <v>1470</v>
      </c>
    </row>
    <row r="103" spans="1:8" x14ac:dyDescent="0.25">
      <c r="A103" s="4">
        <v>102</v>
      </c>
      <c r="B103" s="1">
        <v>44298</v>
      </c>
      <c r="C103" s="2" t="s">
        <v>20</v>
      </c>
      <c r="D103" s="2" t="s">
        <v>12</v>
      </c>
      <c r="E103" s="2" t="s">
        <v>13</v>
      </c>
      <c r="F103" s="3">
        <v>6</v>
      </c>
      <c r="G103" s="3">
        <v>2100</v>
      </c>
      <c r="H103" s="5">
        <f t="shared" si="1"/>
        <v>12600</v>
      </c>
    </row>
    <row r="104" spans="1:8" x14ac:dyDescent="0.25">
      <c r="A104" s="4">
        <v>103</v>
      </c>
      <c r="B104" s="1">
        <v>44299</v>
      </c>
      <c r="C104" s="2" t="s">
        <v>20</v>
      </c>
      <c r="D104" s="2" t="s">
        <v>22</v>
      </c>
      <c r="E104" s="2" t="s">
        <v>15</v>
      </c>
      <c r="F104" s="3">
        <v>5</v>
      </c>
      <c r="G104" s="3">
        <v>1200</v>
      </c>
      <c r="H104" s="5">
        <f t="shared" si="1"/>
        <v>6000</v>
      </c>
    </row>
    <row r="105" spans="1:8" x14ac:dyDescent="0.25">
      <c r="A105" s="4">
        <v>104</v>
      </c>
      <c r="B105" s="1">
        <v>44300</v>
      </c>
      <c r="C105" s="2" t="s">
        <v>20</v>
      </c>
      <c r="D105" s="2" t="s">
        <v>23</v>
      </c>
      <c r="E105" s="2" t="s">
        <v>13</v>
      </c>
      <c r="F105" s="3">
        <v>6</v>
      </c>
      <c r="G105" s="3">
        <v>2100</v>
      </c>
      <c r="H105" s="5">
        <f t="shared" si="1"/>
        <v>12600</v>
      </c>
    </row>
    <row r="106" spans="1:8" x14ac:dyDescent="0.25">
      <c r="A106" s="4">
        <v>105</v>
      </c>
      <c r="B106" s="1">
        <v>44301</v>
      </c>
      <c r="C106" s="2" t="s">
        <v>20</v>
      </c>
      <c r="D106" s="2" t="s">
        <v>9</v>
      </c>
      <c r="E106" s="2" t="s">
        <v>15</v>
      </c>
      <c r="F106" s="3">
        <v>5</v>
      </c>
      <c r="G106" s="3">
        <v>1200</v>
      </c>
      <c r="H106" s="5">
        <f t="shared" si="1"/>
        <v>6000</v>
      </c>
    </row>
    <row r="107" spans="1:8" x14ac:dyDescent="0.25">
      <c r="A107" s="4">
        <v>106</v>
      </c>
      <c r="B107" s="1">
        <v>44302</v>
      </c>
      <c r="C107" s="2" t="s">
        <v>20</v>
      </c>
      <c r="D107" s="2" t="s">
        <v>12</v>
      </c>
      <c r="E107" s="2" t="s">
        <v>21</v>
      </c>
      <c r="F107" s="3">
        <v>2</v>
      </c>
      <c r="G107" s="3">
        <v>190</v>
      </c>
      <c r="H107" s="5">
        <f t="shared" si="1"/>
        <v>380</v>
      </c>
    </row>
    <row r="108" spans="1:8" x14ac:dyDescent="0.25">
      <c r="A108" s="4">
        <v>107</v>
      </c>
      <c r="B108" s="1">
        <v>44303</v>
      </c>
      <c r="C108" s="2" t="s">
        <v>20</v>
      </c>
      <c r="D108" s="2" t="s">
        <v>22</v>
      </c>
      <c r="E108" s="2" t="s">
        <v>13</v>
      </c>
      <c r="F108" s="3">
        <v>6</v>
      </c>
      <c r="G108" s="3">
        <v>2100</v>
      </c>
      <c r="H108" s="5">
        <f t="shared" si="1"/>
        <v>12600</v>
      </c>
    </row>
    <row r="109" spans="1:8" x14ac:dyDescent="0.25">
      <c r="A109" s="4">
        <v>108</v>
      </c>
      <c r="B109" s="1">
        <v>44304</v>
      </c>
      <c r="C109" s="2" t="s">
        <v>20</v>
      </c>
      <c r="D109" s="2" t="s">
        <v>23</v>
      </c>
      <c r="E109" s="2" t="s">
        <v>15</v>
      </c>
      <c r="F109" s="3">
        <v>5</v>
      </c>
      <c r="G109" s="3">
        <v>1200</v>
      </c>
      <c r="H109" s="5">
        <f t="shared" si="1"/>
        <v>6000</v>
      </c>
    </row>
    <row r="110" spans="1:8" x14ac:dyDescent="0.25">
      <c r="A110" s="4">
        <v>109</v>
      </c>
      <c r="B110" s="1">
        <v>44305</v>
      </c>
      <c r="C110" s="2" t="s">
        <v>8</v>
      </c>
      <c r="D110" s="2" t="s">
        <v>9</v>
      </c>
      <c r="E110" s="2" t="s">
        <v>13</v>
      </c>
      <c r="F110" s="3">
        <v>6</v>
      </c>
      <c r="G110" s="3">
        <v>2100</v>
      </c>
      <c r="H110" s="5">
        <f t="shared" si="1"/>
        <v>12600</v>
      </c>
    </row>
    <row r="111" spans="1:8" x14ac:dyDescent="0.25">
      <c r="A111" s="4">
        <v>110</v>
      </c>
      <c r="B111" s="1">
        <v>44306</v>
      </c>
      <c r="C111" s="2" t="s">
        <v>11</v>
      </c>
      <c r="D111" s="2" t="s">
        <v>12</v>
      </c>
      <c r="E111" s="2" t="s">
        <v>15</v>
      </c>
      <c r="F111" s="3">
        <v>5</v>
      </c>
      <c r="G111" s="3">
        <v>1200</v>
      </c>
      <c r="H111" s="5">
        <f t="shared" si="1"/>
        <v>6000</v>
      </c>
    </row>
    <row r="112" spans="1:8" x14ac:dyDescent="0.25">
      <c r="A112" s="4">
        <v>111</v>
      </c>
      <c r="B112" s="1">
        <v>44307</v>
      </c>
      <c r="C112" s="2" t="s">
        <v>14</v>
      </c>
      <c r="D112" s="2" t="s">
        <v>9</v>
      </c>
      <c r="E112" s="2" t="s">
        <v>13</v>
      </c>
      <c r="F112" s="3">
        <v>6</v>
      </c>
      <c r="G112" s="3">
        <v>2100</v>
      </c>
      <c r="H112" s="5">
        <f t="shared" si="1"/>
        <v>12600</v>
      </c>
    </row>
    <row r="113" spans="1:8" x14ac:dyDescent="0.25">
      <c r="A113" s="4">
        <v>112</v>
      </c>
      <c r="B113" s="1">
        <v>44308</v>
      </c>
      <c r="C113" s="2" t="s">
        <v>16</v>
      </c>
      <c r="D113" s="2" t="s">
        <v>12</v>
      </c>
      <c r="E113" s="2" t="s">
        <v>15</v>
      </c>
      <c r="F113" s="3">
        <v>5</v>
      </c>
      <c r="G113" s="3">
        <v>1200</v>
      </c>
      <c r="H113" s="5">
        <f t="shared" si="1"/>
        <v>6000</v>
      </c>
    </row>
    <row r="114" spans="1:8" x14ac:dyDescent="0.25">
      <c r="A114" s="4">
        <v>113</v>
      </c>
      <c r="B114" s="1">
        <v>44309</v>
      </c>
      <c r="C114" s="2" t="s">
        <v>18</v>
      </c>
      <c r="D114" s="2" t="s">
        <v>9</v>
      </c>
      <c r="E114" s="2" t="s">
        <v>10</v>
      </c>
      <c r="F114" s="3">
        <v>2</v>
      </c>
      <c r="G114" s="3">
        <v>210</v>
      </c>
      <c r="H114" s="5">
        <f t="shared" si="1"/>
        <v>420</v>
      </c>
    </row>
    <row r="115" spans="1:8" x14ac:dyDescent="0.25">
      <c r="A115" s="4">
        <v>114</v>
      </c>
      <c r="B115" s="1">
        <v>44310</v>
      </c>
      <c r="C115" s="2" t="s">
        <v>20</v>
      </c>
      <c r="D115" s="2" t="s">
        <v>9</v>
      </c>
      <c r="E115" s="2" t="s">
        <v>13</v>
      </c>
      <c r="F115" s="3">
        <v>7</v>
      </c>
      <c r="G115" s="3">
        <v>2100</v>
      </c>
      <c r="H115" s="5">
        <f t="shared" si="1"/>
        <v>14700</v>
      </c>
    </row>
    <row r="116" spans="1:8" x14ac:dyDescent="0.25">
      <c r="A116" s="4">
        <v>115</v>
      </c>
      <c r="B116" s="1">
        <v>44311</v>
      </c>
      <c r="C116" s="2" t="s">
        <v>8</v>
      </c>
      <c r="D116" s="2" t="s">
        <v>9</v>
      </c>
      <c r="E116" s="2" t="s">
        <v>15</v>
      </c>
      <c r="F116" s="3">
        <v>6</v>
      </c>
      <c r="G116" s="3">
        <v>1200</v>
      </c>
      <c r="H116" s="5">
        <f t="shared" si="1"/>
        <v>7200</v>
      </c>
    </row>
    <row r="117" spans="1:8" x14ac:dyDescent="0.25">
      <c r="A117" s="4">
        <v>116</v>
      </c>
      <c r="B117" s="1">
        <v>44312</v>
      </c>
      <c r="C117" s="2" t="s">
        <v>11</v>
      </c>
      <c r="D117" s="2" t="s">
        <v>12</v>
      </c>
      <c r="E117" s="2" t="s">
        <v>17</v>
      </c>
      <c r="F117" s="3">
        <v>5</v>
      </c>
      <c r="G117" s="3">
        <v>1500</v>
      </c>
      <c r="H117" s="5">
        <f t="shared" si="1"/>
        <v>7500</v>
      </c>
    </row>
    <row r="118" spans="1:8" x14ac:dyDescent="0.25">
      <c r="A118" s="4">
        <v>117</v>
      </c>
      <c r="B118" s="1">
        <v>44313</v>
      </c>
      <c r="C118" s="2" t="s">
        <v>14</v>
      </c>
      <c r="D118" s="2" t="s">
        <v>12</v>
      </c>
      <c r="E118" s="2" t="s">
        <v>19</v>
      </c>
      <c r="F118" s="3">
        <v>4</v>
      </c>
      <c r="G118" s="3">
        <v>300</v>
      </c>
      <c r="H118" s="5">
        <f t="shared" si="1"/>
        <v>1200</v>
      </c>
    </row>
    <row r="119" spans="1:8" x14ac:dyDescent="0.25">
      <c r="A119" s="4">
        <v>118</v>
      </c>
      <c r="B119" s="1">
        <v>44314</v>
      </c>
      <c r="C119" s="2" t="s">
        <v>16</v>
      </c>
      <c r="D119" s="2" t="s">
        <v>9</v>
      </c>
      <c r="E119" s="2" t="s">
        <v>21</v>
      </c>
      <c r="F119" s="3">
        <v>3</v>
      </c>
      <c r="G119" s="3">
        <v>190</v>
      </c>
      <c r="H119" s="5">
        <f t="shared" si="1"/>
        <v>570</v>
      </c>
    </row>
    <row r="120" spans="1:8" x14ac:dyDescent="0.25">
      <c r="A120" s="4">
        <v>119</v>
      </c>
      <c r="B120" s="1">
        <v>44315</v>
      </c>
      <c r="C120" s="2" t="s">
        <v>18</v>
      </c>
      <c r="D120" s="2" t="s">
        <v>9</v>
      </c>
      <c r="E120" s="2" t="s">
        <v>10</v>
      </c>
      <c r="F120" s="3">
        <v>2</v>
      </c>
      <c r="G120" s="3">
        <v>210</v>
      </c>
      <c r="H120" s="5">
        <f t="shared" si="1"/>
        <v>420</v>
      </c>
    </row>
    <row r="121" spans="1:8" x14ac:dyDescent="0.25">
      <c r="A121" s="4">
        <v>120</v>
      </c>
      <c r="B121" s="1">
        <v>44316</v>
      </c>
      <c r="C121" s="2" t="s">
        <v>20</v>
      </c>
      <c r="D121" s="2" t="s">
        <v>12</v>
      </c>
      <c r="E121" s="2" t="s">
        <v>15</v>
      </c>
      <c r="F121" s="3">
        <v>7</v>
      </c>
      <c r="G121" s="3">
        <v>2100</v>
      </c>
      <c r="H121" s="5">
        <f t="shared" si="1"/>
        <v>14700</v>
      </c>
    </row>
    <row r="122" spans="1:8" x14ac:dyDescent="0.25">
      <c r="A122" s="4">
        <v>121</v>
      </c>
      <c r="B122" s="1">
        <v>44317</v>
      </c>
      <c r="C122" s="2" t="s">
        <v>20</v>
      </c>
      <c r="D122" s="2" t="s">
        <v>9</v>
      </c>
      <c r="E122" s="2" t="s">
        <v>17</v>
      </c>
      <c r="F122" s="3">
        <v>6</v>
      </c>
      <c r="G122" s="3">
        <v>1200</v>
      </c>
      <c r="H122" s="5">
        <f t="shared" si="1"/>
        <v>7200</v>
      </c>
    </row>
    <row r="123" spans="1:8" x14ac:dyDescent="0.25">
      <c r="A123" s="4">
        <v>122</v>
      </c>
      <c r="B123" s="1">
        <v>44318</v>
      </c>
      <c r="C123" s="2" t="s">
        <v>8</v>
      </c>
      <c r="D123" s="2" t="s">
        <v>9</v>
      </c>
      <c r="E123" s="2" t="s">
        <v>19</v>
      </c>
      <c r="F123" s="3">
        <v>5</v>
      </c>
      <c r="G123" s="3">
        <v>300</v>
      </c>
      <c r="H123" s="5">
        <f t="shared" si="1"/>
        <v>1500</v>
      </c>
    </row>
    <row r="124" spans="1:8" x14ac:dyDescent="0.25">
      <c r="A124" s="4">
        <v>123</v>
      </c>
      <c r="B124" s="1">
        <v>44319</v>
      </c>
      <c r="C124" s="2" t="s">
        <v>11</v>
      </c>
      <c r="D124" s="2" t="s">
        <v>9</v>
      </c>
      <c r="E124" s="2" t="s">
        <v>21</v>
      </c>
      <c r="F124" s="3">
        <v>4</v>
      </c>
      <c r="G124" s="3">
        <v>200</v>
      </c>
      <c r="H124" s="5">
        <f t="shared" si="1"/>
        <v>800</v>
      </c>
    </row>
    <row r="125" spans="1:8" x14ac:dyDescent="0.25">
      <c r="A125" s="4">
        <v>124</v>
      </c>
      <c r="B125" s="1">
        <v>44320</v>
      </c>
      <c r="C125" s="2" t="s">
        <v>14</v>
      </c>
      <c r="D125" s="2" t="s">
        <v>9</v>
      </c>
      <c r="E125" s="2" t="s">
        <v>10</v>
      </c>
      <c r="F125" s="3">
        <v>3</v>
      </c>
      <c r="G125" s="3">
        <v>190</v>
      </c>
      <c r="H125" s="5">
        <f t="shared" si="1"/>
        <v>570</v>
      </c>
    </row>
    <row r="126" spans="1:8" x14ac:dyDescent="0.25">
      <c r="A126" s="4">
        <v>125</v>
      </c>
      <c r="B126" s="1">
        <v>44321</v>
      </c>
      <c r="C126" s="2" t="s">
        <v>16</v>
      </c>
      <c r="D126" s="2" t="s">
        <v>9</v>
      </c>
      <c r="E126" s="2" t="s">
        <v>13</v>
      </c>
      <c r="F126" s="3">
        <v>2</v>
      </c>
      <c r="G126" s="3">
        <v>2100</v>
      </c>
      <c r="H126" s="5">
        <f t="shared" si="1"/>
        <v>4200</v>
      </c>
    </row>
    <row r="127" spans="1:8" x14ac:dyDescent="0.25">
      <c r="A127" s="4">
        <v>126</v>
      </c>
      <c r="B127" s="1">
        <v>44322</v>
      </c>
      <c r="C127" s="2" t="s">
        <v>18</v>
      </c>
      <c r="D127" s="2" t="s">
        <v>9</v>
      </c>
      <c r="E127" s="2" t="s">
        <v>10</v>
      </c>
      <c r="F127" s="3">
        <v>7</v>
      </c>
      <c r="G127" s="3">
        <v>210</v>
      </c>
      <c r="H127" s="5">
        <f t="shared" si="1"/>
        <v>1470</v>
      </c>
    </row>
    <row r="128" spans="1:8" x14ac:dyDescent="0.25">
      <c r="A128" s="4">
        <v>127</v>
      </c>
      <c r="B128" s="1">
        <v>44323</v>
      </c>
      <c r="C128" s="2" t="s">
        <v>20</v>
      </c>
      <c r="D128" s="2" t="s">
        <v>9</v>
      </c>
      <c r="E128" s="2" t="s">
        <v>13</v>
      </c>
      <c r="F128" s="3">
        <v>6</v>
      </c>
      <c r="G128" s="3">
        <v>2100</v>
      </c>
      <c r="H128" s="5">
        <f t="shared" si="1"/>
        <v>12600</v>
      </c>
    </row>
    <row r="129" spans="1:8" x14ac:dyDescent="0.25">
      <c r="A129" s="4">
        <v>128</v>
      </c>
      <c r="B129" s="1">
        <v>44324</v>
      </c>
      <c r="C129" s="2" t="s">
        <v>8</v>
      </c>
      <c r="D129" s="2" t="s">
        <v>9</v>
      </c>
      <c r="E129" s="2" t="s">
        <v>15</v>
      </c>
      <c r="F129" s="3">
        <v>5</v>
      </c>
      <c r="G129" s="3">
        <v>1200</v>
      </c>
      <c r="H129" s="5">
        <f t="shared" si="1"/>
        <v>6000</v>
      </c>
    </row>
    <row r="130" spans="1:8" x14ac:dyDescent="0.25">
      <c r="A130" s="4">
        <v>129</v>
      </c>
      <c r="B130" s="1">
        <v>44325</v>
      </c>
      <c r="C130" s="2" t="s">
        <v>11</v>
      </c>
      <c r="D130" s="2" t="s">
        <v>12</v>
      </c>
      <c r="E130" s="2" t="s">
        <v>17</v>
      </c>
      <c r="F130" s="3">
        <v>4</v>
      </c>
      <c r="G130" s="3">
        <v>1500</v>
      </c>
      <c r="H130" s="5">
        <f t="shared" si="1"/>
        <v>6000</v>
      </c>
    </row>
    <row r="131" spans="1:8" x14ac:dyDescent="0.25">
      <c r="A131" s="4">
        <v>130</v>
      </c>
      <c r="B131" s="1">
        <v>44326</v>
      </c>
      <c r="C131" s="2" t="s">
        <v>14</v>
      </c>
      <c r="D131" s="2" t="s">
        <v>9</v>
      </c>
      <c r="E131" s="2" t="s">
        <v>19</v>
      </c>
      <c r="F131" s="3">
        <v>3</v>
      </c>
      <c r="G131" s="3">
        <v>300</v>
      </c>
      <c r="H131" s="5">
        <f t="shared" ref="H131:H194" si="2">F131*G131</f>
        <v>900</v>
      </c>
    </row>
    <row r="132" spans="1:8" x14ac:dyDescent="0.25">
      <c r="A132" s="4">
        <v>131</v>
      </c>
      <c r="B132" s="1">
        <v>44327</v>
      </c>
      <c r="C132" s="2" t="s">
        <v>16</v>
      </c>
      <c r="D132" s="2" t="s">
        <v>12</v>
      </c>
      <c r="E132" s="2" t="s">
        <v>21</v>
      </c>
      <c r="F132" s="3">
        <v>2</v>
      </c>
      <c r="G132" s="3">
        <v>190</v>
      </c>
      <c r="H132" s="5">
        <f t="shared" si="2"/>
        <v>380</v>
      </c>
    </row>
    <row r="133" spans="1:8" x14ac:dyDescent="0.25">
      <c r="A133" s="4">
        <v>132</v>
      </c>
      <c r="B133" s="1">
        <v>44328</v>
      </c>
      <c r="C133" s="2" t="s">
        <v>18</v>
      </c>
      <c r="D133" s="2" t="s">
        <v>9</v>
      </c>
      <c r="E133" s="2" t="s">
        <v>10</v>
      </c>
      <c r="F133" s="3">
        <v>7</v>
      </c>
      <c r="G133" s="3">
        <v>210</v>
      </c>
      <c r="H133" s="5">
        <f t="shared" si="2"/>
        <v>1470</v>
      </c>
    </row>
    <row r="134" spans="1:8" x14ac:dyDescent="0.25">
      <c r="A134" s="4">
        <v>133</v>
      </c>
      <c r="B134" s="1">
        <v>44329</v>
      </c>
      <c r="C134" s="2" t="s">
        <v>20</v>
      </c>
      <c r="D134" s="2" t="s">
        <v>9</v>
      </c>
      <c r="E134" s="2" t="s">
        <v>13</v>
      </c>
      <c r="F134" s="3">
        <v>6</v>
      </c>
      <c r="G134" s="3">
        <v>2100</v>
      </c>
      <c r="H134" s="5">
        <f t="shared" si="2"/>
        <v>12600</v>
      </c>
    </row>
    <row r="135" spans="1:8" x14ac:dyDescent="0.25">
      <c r="A135" s="4">
        <v>134</v>
      </c>
      <c r="B135" s="1">
        <v>44330</v>
      </c>
      <c r="C135" s="2" t="s">
        <v>20</v>
      </c>
      <c r="D135" s="2" t="s">
        <v>9</v>
      </c>
      <c r="E135" s="2" t="s">
        <v>15</v>
      </c>
      <c r="F135" s="3">
        <v>5</v>
      </c>
      <c r="G135" s="3">
        <v>1200</v>
      </c>
      <c r="H135" s="5">
        <f t="shared" si="2"/>
        <v>6000</v>
      </c>
    </row>
    <row r="136" spans="1:8" x14ac:dyDescent="0.25">
      <c r="A136" s="4">
        <v>135</v>
      </c>
      <c r="B136" s="1">
        <v>44331</v>
      </c>
      <c r="C136" s="2" t="s">
        <v>8</v>
      </c>
      <c r="D136" s="2" t="s">
        <v>9</v>
      </c>
      <c r="E136" s="2" t="s">
        <v>17</v>
      </c>
      <c r="F136" s="3">
        <v>4</v>
      </c>
      <c r="G136" s="3">
        <v>1500</v>
      </c>
      <c r="H136" s="5">
        <f t="shared" si="2"/>
        <v>6000</v>
      </c>
    </row>
    <row r="137" spans="1:8" x14ac:dyDescent="0.25">
      <c r="A137" s="4">
        <v>136</v>
      </c>
      <c r="B137" s="1">
        <v>44332</v>
      </c>
      <c r="C137" s="2" t="s">
        <v>8</v>
      </c>
      <c r="D137" s="2" t="s">
        <v>12</v>
      </c>
      <c r="E137" s="2" t="s">
        <v>19</v>
      </c>
      <c r="F137" s="3">
        <v>3</v>
      </c>
      <c r="G137" s="3">
        <v>300</v>
      </c>
      <c r="H137" s="5">
        <f t="shared" si="2"/>
        <v>900</v>
      </c>
    </row>
    <row r="138" spans="1:8" x14ac:dyDescent="0.25">
      <c r="A138" s="4">
        <v>137</v>
      </c>
      <c r="B138" s="1">
        <v>44333</v>
      </c>
      <c r="C138" s="2" t="s">
        <v>8</v>
      </c>
      <c r="D138" s="2" t="s">
        <v>22</v>
      </c>
      <c r="E138" s="2" t="s">
        <v>21</v>
      </c>
      <c r="F138" s="3">
        <v>2</v>
      </c>
      <c r="G138" s="3">
        <v>190</v>
      </c>
      <c r="H138" s="5">
        <f t="shared" si="2"/>
        <v>380</v>
      </c>
    </row>
    <row r="139" spans="1:8" x14ac:dyDescent="0.25">
      <c r="A139" s="4">
        <v>138</v>
      </c>
      <c r="B139" s="1">
        <v>44334</v>
      </c>
      <c r="C139" s="2" t="s">
        <v>8</v>
      </c>
      <c r="D139" s="2" t="s">
        <v>23</v>
      </c>
      <c r="E139" s="2" t="s">
        <v>10</v>
      </c>
      <c r="F139" s="3">
        <v>2</v>
      </c>
      <c r="G139" s="3">
        <v>210</v>
      </c>
      <c r="H139" s="5">
        <f t="shared" si="2"/>
        <v>420</v>
      </c>
    </row>
    <row r="140" spans="1:8" x14ac:dyDescent="0.25">
      <c r="A140" s="4">
        <v>139</v>
      </c>
      <c r="B140" s="1">
        <v>44335</v>
      </c>
      <c r="C140" s="2" t="s">
        <v>8</v>
      </c>
      <c r="D140" s="2" t="s">
        <v>9</v>
      </c>
      <c r="E140" s="2" t="s">
        <v>13</v>
      </c>
      <c r="F140" s="3">
        <v>7</v>
      </c>
      <c r="G140" s="3">
        <v>2100</v>
      </c>
      <c r="H140" s="5">
        <f t="shared" si="2"/>
        <v>14700</v>
      </c>
    </row>
    <row r="141" spans="1:8" x14ac:dyDescent="0.25">
      <c r="A141" s="4">
        <v>140</v>
      </c>
      <c r="B141" s="1">
        <v>44336</v>
      </c>
      <c r="C141" s="2" t="s">
        <v>8</v>
      </c>
      <c r="D141" s="2" t="s">
        <v>12</v>
      </c>
      <c r="E141" s="2" t="s">
        <v>15</v>
      </c>
      <c r="F141" s="3">
        <v>6</v>
      </c>
      <c r="G141" s="3">
        <v>1200</v>
      </c>
      <c r="H141" s="5">
        <f t="shared" si="2"/>
        <v>7200</v>
      </c>
    </row>
    <row r="142" spans="1:8" x14ac:dyDescent="0.25">
      <c r="A142" s="4">
        <v>141</v>
      </c>
      <c r="B142" s="1">
        <v>44337</v>
      </c>
      <c r="C142" s="2" t="s">
        <v>8</v>
      </c>
      <c r="D142" s="2" t="s">
        <v>22</v>
      </c>
      <c r="E142" s="2" t="s">
        <v>17</v>
      </c>
      <c r="F142" s="3">
        <v>5</v>
      </c>
      <c r="G142" s="3">
        <v>1500</v>
      </c>
      <c r="H142" s="5">
        <f t="shared" si="2"/>
        <v>7500</v>
      </c>
    </row>
    <row r="143" spans="1:8" x14ac:dyDescent="0.25">
      <c r="A143" s="4">
        <v>142</v>
      </c>
      <c r="B143" s="1">
        <v>44338</v>
      </c>
      <c r="C143" s="2" t="s">
        <v>8</v>
      </c>
      <c r="D143" s="2" t="s">
        <v>23</v>
      </c>
      <c r="E143" s="2" t="s">
        <v>19</v>
      </c>
      <c r="F143" s="3">
        <v>4</v>
      </c>
      <c r="G143" s="3">
        <v>300</v>
      </c>
      <c r="H143" s="5">
        <f t="shared" si="2"/>
        <v>1200</v>
      </c>
    </row>
    <row r="144" spans="1:8" x14ac:dyDescent="0.25">
      <c r="A144" s="4">
        <v>143</v>
      </c>
      <c r="B144" s="1">
        <v>44339</v>
      </c>
      <c r="C144" s="2" t="s">
        <v>11</v>
      </c>
      <c r="D144" s="2" t="s">
        <v>12</v>
      </c>
      <c r="E144" s="2" t="s">
        <v>21</v>
      </c>
      <c r="F144" s="3">
        <v>3</v>
      </c>
      <c r="G144" s="3">
        <v>190</v>
      </c>
      <c r="H144" s="5">
        <f t="shared" si="2"/>
        <v>570</v>
      </c>
    </row>
    <row r="145" spans="1:8" x14ac:dyDescent="0.25">
      <c r="A145" s="4">
        <v>144</v>
      </c>
      <c r="B145" s="1">
        <v>44340</v>
      </c>
      <c r="C145" s="2" t="s">
        <v>11</v>
      </c>
      <c r="D145" s="2" t="s">
        <v>9</v>
      </c>
      <c r="E145" s="2" t="s">
        <v>19</v>
      </c>
      <c r="F145" s="3">
        <v>4</v>
      </c>
      <c r="G145" s="3">
        <v>300</v>
      </c>
      <c r="H145" s="5">
        <f t="shared" si="2"/>
        <v>1200</v>
      </c>
    </row>
    <row r="146" spans="1:8" x14ac:dyDescent="0.25">
      <c r="A146" s="4">
        <v>145</v>
      </c>
      <c r="B146" s="1">
        <v>44341</v>
      </c>
      <c r="C146" s="2" t="s">
        <v>11</v>
      </c>
      <c r="D146" s="2" t="s">
        <v>22</v>
      </c>
      <c r="E146" s="2" t="s">
        <v>19</v>
      </c>
      <c r="F146" s="3">
        <v>4</v>
      </c>
      <c r="G146" s="3">
        <v>300</v>
      </c>
      <c r="H146" s="5">
        <f t="shared" si="2"/>
        <v>1200</v>
      </c>
    </row>
    <row r="147" spans="1:8" x14ac:dyDescent="0.25">
      <c r="A147" s="4">
        <v>146</v>
      </c>
      <c r="B147" s="1">
        <v>44342</v>
      </c>
      <c r="C147" s="2" t="s">
        <v>11</v>
      </c>
      <c r="D147" s="2" t="s">
        <v>23</v>
      </c>
      <c r="E147" s="2" t="s">
        <v>19</v>
      </c>
      <c r="F147" s="3">
        <v>4</v>
      </c>
      <c r="G147" s="3">
        <v>300</v>
      </c>
      <c r="H147" s="5">
        <f t="shared" si="2"/>
        <v>1200</v>
      </c>
    </row>
    <row r="148" spans="1:8" x14ac:dyDescent="0.25">
      <c r="A148" s="4">
        <v>147</v>
      </c>
      <c r="B148" s="1">
        <v>44343</v>
      </c>
      <c r="C148" s="2" t="s">
        <v>11</v>
      </c>
      <c r="D148" s="2" t="s">
        <v>12</v>
      </c>
      <c r="E148" s="2" t="s">
        <v>19</v>
      </c>
      <c r="F148" s="3">
        <v>4</v>
      </c>
      <c r="G148" s="3">
        <v>300</v>
      </c>
      <c r="H148" s="5">
        <f t="shared" si="2"/>
        <v>1200</v>
      </c>
    </row>
    <row r="149" spans="1:8" x14ac:dyDescent="0.25">
      <c r="A149" s="4">
        <v>148</v>
      </c>
      <c r="B149" s="1">
        <v>44344</v>
      </c>
      <c r="C149" s="2" t="s">
        <v>11</v>
      </c>
      <c r="D149" s="2" t="s">
        <v>9</v>
      </c>
      <c r="E149" s="2" t="s">
        <v>19</v>
      </c>
      <c r="F149" s="3">
        <v>4</v>
      </c>
      <c r="G149" s="3">
        <v>300</v>
      </c>
      <c r="H149" s="5">
        <f t="shared" si="2"/>
        <v>1200</v>
      </c>
    </row>
    <row r="150" spans="1:8" x14ac:dyDescent="0.25">
      <c r="A150" s="4">
        <v>149</v>
      </c>
      <c r="B150" s="1">
        <v>44345</v>
      </c>
      <c r="C150" s="2" t="s">
        <v>11</v>
      </c>
      <c r="D150" s="2" t="s">
        <v>22</v>
      </c>
      <c r="E150" s="2" t="s">
        <v>19</v>
      </c>
      <c r="F150" s="3">
        <v>4</v>
      </c>
      <c r="G150" s="3">
        <v>300</v>
      </c>
      <c r="H150" s="5">
        <f t="shared" si="2"/>
        <v>1200</v>
      </c>
    </row>
    <row r="151" spans="1:8" x14ac:dyDescent="0.25">
      <c r="A151" s="4">
        <v>150</v>
      </c>
      <c r="B151" s="1">
        <v>44346</v>
      </c>
      <c r="C151" s="2" t="s">
        <v>11</v>
      </c>
      <c r="D151" s="2" t="s">
        <v>23</v>
      </c>
      <c r="E151" s="2" t="s">
        <v>19</v>
      </c>
      <c r="F151" s="3">
        <v>4</v>
      </c>
      <c r="G151" s="3">
        <v>300</v>
      </c>
      <c r="H151" s="5">
        <f t="shared" si="2"/>
        <v>1200</v>
      </c>
    </row>
    <row r="152" spans="1:8" x14ac:dyDescent="0.25">
      <c r="A152" s="4">
        <v>151</v>
      </c>
      <c r="B152" s="1">
        <v>44347</v>
      </c>
      <c r="C152" s="2" t="s">
        <v>14</v>
      </c>
      <c r="D152" s="2" t="s">
        <v>23</v>
      </c>
      <c r="E152" s="2" t="s">
        <v>19</v>
      </c>
      <c r="F152" s="3">
        <v>4</v>
      </c>
      <c r="G152" s="3">
        <v>300</v>
      </c>
      <c r="H152" s="5">
        <f t="shared" si="2"/>
        <v>1200</v>
      </c>
    </row>
    <row r="153" spans="1:8" x14ac:dyDescent="0.25">
      <c r="A153" s="4">
        <v>152</v>
      </c>
      <c r="B153" s="1">
        <v>44348</v>
      </c>
      <c r="C153" s="2" t="s">
        <v>16</v>
      </c>
      <c r="D153" s="2" t="s">
        <v>23</v>
      </c>
      <c r="E153" s="2" t="s">
        <v>13</v>
      </c>
      <c r="F153" s="3">
        <v>6</v>
      </c>
      <c r="G153" s="3">
        <v>2100</v>
      </c>
      <c r="H153" s="5">
        <f t="shared" si="2"/>
        <v>12600</v>
      </c>
    </row>
    <row r="154" spans="1:8" x14ac:dyDescent="0.25">
      <c r="A154" s="4">
        <v>153</v>
      </c>
      <c r="B154" s="1">
        <v>44349</v>
      </c>
      <c r="C154" s="2" t="s">
        <v>18</v>
      </c>
      <c r="D154" s="2" t="s">
        <v>23</v>
      </c>
      <c r="E154" s="2" t="s">
        <v>15</v>
      </c>
      <c r="F154" s="3">
        <v>5</v>
      </c>
      <c r="G154" s="3">
        <v>1200</v>
      </c>
      <c r="H154" s="5">
        <f t="shared" si="2"/>
        <v>6000</v>
      </c>
    </row>
    <row r="155" spans="1:8" x14ac:dyDescent="0.25">
      <c r="A155" s="4">
        <v>154</v>
      </c>
      <c r="B155" s="1">
        <v>44350</v>
      </c>
      <c r="C155" s="2" t="s">
        <v>20</v>
      </c>
      <c r="D155" s="2" t="s">
        <v>23</v>
      </c>
      <c r="E155" s="2" t="s">
        <v>17</v>
      </c>
      <c r="F155" s="3">
        <v>4</v>
      </c>
      <c r="G155" s="3">
        <v>1500</v>
      </c>
      <c r="H155" s="5">
        <f t="shared" si="2"/>
        <v>6000</v>
      </c>
    </row>
    <row r="156" spans="1:8" x14ac:dyDescent="0.25">
      <c r="A156" s="4">
        <v>155</v>
      </c>
      <c r="B156" s="1">
        <v>44351</v>
      </c>
      <c r="C156" s="2" t="s">
        <v>20</v>
      </c>
      <c r="D156" s="2" t="s">
        <v>9</v>
      </c>
      <c r="E156" s="2" t="s">
        <v>19</v>
      </c>
      <c r="F156" s="3">
        <v>3</v>
      </c>
      <c r="G156" s="3">
        <v>300</v>
      </c>
      <c r="H156" s="5">
        <f t="shared" si="2"/>
        <v>900</v>
      </c>
    </row>
    <row r="157" spans="1:8" x14ac:dyDescent="0.25">
      <c r="A157" s="4">
        <v>156</v>
      </c>
      <c r="B157" s="1">
        <v>44352</v>
      </c>
      <c r="C157" s="2" t="s">
        <v>20</v>
      </c>
      <c r="D157" s="2" t="s">
        <v>12</v>
      </c>
      <c r="E157" s="2" t="s">
        <v>21</v>
      </c>
      <c r="F157" s="3">
        <v>2</v>
      </c>
      <c r="G157" s="3">
        <v>190</v>
      </c>
      <c r="H157" s="5">
        <f t="shared" si="2"/>
        <v>380</v>
      </c>
    </row>
    <row r="158" spans="1:8" x14ac:dyDescent="0.25">
      <c r="A158" s="4">
        <v>157</v>
      </c>
      <c r="B158" s="1">
        <v>44353</v>
      </c>
      <c r="C158" s="2" t="s">
        <v>20</v>
      </c>
      <c r="D158" s="2" t="s">
        <v>22</v>
      </c>
      <c r="E158" s="2" t="s">
        <v>10</v>
      </c>
      <c r="F158" s="3">
        <v>7</v>
      </c>
      <c r="G158" s="3">
        <v>210</v>
      </c>
      <c r="H158" s="5">
        <f t="shared" si="2"/>
        <v>1470</v>
      </c>
    </row>
    <row r="159" spans="1:8" x14ac:dyDescent="0.25">
      <c r="A159" s="4">
        <v>158</v>
      </c>
      <c r="B159" s="1">
        <v>44354</v>
      </c>
      <c r="C159" s="2" t="s">
        <v>20</v>
      </c>
      <c r="D159" s="2" t="s">
        <v>23</v>
      </c>
      <c r="E159" s="2" t="s">
        <v>13</v>
      </c>
      <c r="F159" s="3">
        <v>6</v>
      </c>
      <c r="G159" s="3">
        <v>2100</v>
      </c>
      <c r="H159" s="5">
        <f t="shared" si="2"/>
        <v>12600</v>
      </c>
    </row>
    <row r="160" spans="1:8" x14ac:dyDescent="0.25">
      <c r="A160" s="4">
        <v>159</v>
      </c>
      <c r="B160" s="1">
        <v>44355</v>
      </c>
      <c r="C160" s="2" t="s">
        <v>20</v>
      </c>
      <c r="D160" s="2" t="s">
        <v>9</v>
      </c>
      <c r="E160" s="2" t="s">
        <v>15</v>
      </c>
      <c r="F160" s="3">
        <v>5</v>
      </c>
      <c r="G160" s="3">
        <v>1200</v>
      </c>
      <c r="H160" s="5">
        <f t="shared" si="2"/>
        <v>6000</v>
      </c>
    </row>
    <row r="161" spans="1:8" x14ac:dyDescent="0.25">
      <c r="A161" s="4">
        <v>160</v>
      </c>
      <c r="B161" s="1">
        <v>44356</v>
      </c>
      <c r="C161" s="2" t="s">
        <v>20</v>
      </c>
      <c r="D161" s="2" t="s">
        <v>12</v>
      </c>
      <c r="E161" s="2" t="s">
        <v>17</v>
      </c>
      <c r="F161" s="3">
        <v>4</v>
      </c>
      <c r="G161" s="3">
        <v>1500</v>
      </c>
      <c r="H161" s="5">
        <f t="shared" si="2"/>
        <v>6000</v>
      </c>
    </row>
    <row r="162" spans="1:8" x14ac:dyDescent="0.25">
      <c r="A162" s="4">
        <v>161</v>
      </c>
      <c r="B162" s="1">
        <v>44357</v>
      </c>
      <c r="C162" s="2" t="s">
        <v>20</v>
      </c>
      <c r="D162" s="2" t="s">
        <v>22</v>
      </c>
      <c r="E162" s="2" t="s">
        <v>19</v>
      </c>
      <c r="F162" s="3">
        <v>3</v>
      </c>
      <c r="G162" s="3">
        <v>300</v>
      </c>
      <c r="H162" s="5">
        <f t="shared" si="2"/>
        <v>900</v>
      </c>
    </row>
    <row r="163" spans="1:8" x14ac:dyDescent="0.25">
      <c r="A163" s="4">
        <v>162</v>
      </c>
      <c r="B163" s="1">
        <v>44358</v>
      </c>
      <c r="C163" s="2" t="s">
        <v>20</v>
      </c>
      <c r="D163" s="2" t="s">
        <v>23</v>
      </c>
      <c r="E163" s="2" t="s">
        <v>21</v>
      </c>
      <c r="F163" s="3">
        <v>2</v>
      </c>
      <c r="G163" s="3">
        <v>190</v>
      </c>
      <c r="H163" s="5">
        <f t="shared" si="2"/>
        <v>380</v>
      </c>
    </row>
    <row r="164" spans="1:8" x14ac:dyDescent="0.25">
      <c r="A164" s="4">
        <v>163</v>
      </c>
      <c r="B164" s="1">
        <v>44359</v>
      </c>
      <c r="C164" s="2" t="s">
        <v>8</v>
      </c>
      <c r="D164" s="2" t="s">
        <v>9</v>
      </c>
      <c r="E164" s="2" t="s">
        <v>10</v>
      </c>
      <c r="F164" s="3">
        <v>2</v>
      </c>
      <c r="G164" s="3">
        <v>210</v>
      </c>
      <c r="H164" s="5">
        <f t="shared" si="2"/>
        <v>420</v>
      </c>
    </row>
    <row r="165" spans="1:8" x14ac:dyDescent="0.25">
      <c r="A165" s="4">
        <v>164</v>
      </c>
      <c r="B165" s="1">
        <v>44360</v>
      </c>
      <c r="C165" s="2" t="s">
        <v>11</v>
      </c>
      <c r="D165" s="2" t="s">
        <v>12</v>
      </c>
      <c r="E165" s="2" t="s">
        <v>13</v>
      </c>
      <c r="F165" s="3">
        <v>7</v>
      </c>
      <c r="G165" s="3">
        <v>2100</v>
      </c>
      <c r="H165" s="5">
        <f t="shared" si="2"/>
        <v>14700</v>
      </c>
    </row>
    <row r="166" spans="1:8" x14ac:dyDescent="0.25">
      <c r="A166" s="4">
        <v>165</v>
      </c>
      <c r="B166" s="1">
        <v>44361</v>
      </c>
      <c r="C166" s="2" t="s">
        <v>14</v>
      </c>
      <c r="D166" s="2" t="s">
        <v>9</v>
      </c>
      <c r="E166" s="2" t="s">
        <v>15</v>
      </c>
      <c r="F166" s="3">
        <v>6</v>
      </c>
      <c r="G166" s="3">
        <v>1200</v>
      </c>
      <c r="H166" s="5">
        <f t="shared" si="2"/>
        <v>7200</v>
      </c>
    </row>
    <row r="167" spans="1:8" x14ac:dyDescent="0.25">
      <c r="A167" s="4">
        <v>166</v>
      </c>
      <c r="B167" s="1">
        <v>44362</v>
      </c>
      <c r="C167" s="2" t="s">
        <v>16</v>
      </c>
      <c r="D167" s="2" t="s">
        <v>12</v>
      </c>
      <c r="E167" s="2" t="s">
        <v>17</v>
      </c>
      <c r="F167" s="3">
        <v>5</v>
      </c>
      <c r="G167" s="3">
        <v>1500</v>
      </c>
      <c r="H167" s="5">
        <f t="shared" si="2"/>
        <v>7500</v>
      </c>
    </row>
    <row r="168" spans="1:8" x14ac:dyDescent="0.25">
      <c r="A168" s="4">
        <v>167</v>
      </c>
      <c r="B168" s="1">
        <v>44363</v>
      </c>
      <c r="C168" s="2" t="s">
        <v>18</v>
      </c>
      <c r="D168" s="2" t="s">
        <v>9</v>
      </c>
      <c r="E168" s="2" t="s">
        <v>19</v>
      </c>
      <c r="F168" s="3">
        <v>4</v>
      </c>
      <c r="G168" s="3">
        <v>300</v>
      </c>
      <c r="H168" s="5">
        <f t="shared" si="2"/>
        <v>1200</v>
      </c>
    </row>
    <row r="169" spans="1:8" x14ac:dyDescent="0.25">
      <c r="A169" s="4">
        <v>168</v>
      </c>
      <c r="B169" s="1">
        <v>44364</v>
      </c>
      <c r="C169" s="2" t="s">
        <v>20</v>
      </c>
      <c r="D169" s="2" t="s">
        <v>9</v>
      </c>
      <c r="E169" s="2" t="s">
        <v>21</v>
      </c>
      <c r="F169" s="3">
        <v>3</v>
      </c>
      <c r="G169" s="3">
        <v>190</v>
      </c>
      <c r="H169" s="5">
        <f t="shared" si="2"/>
        <v>570</v>
      </c>
    </row>
    <row r="170" spans="1:8" x14ac:dyDescent="0.25">
      <c r="A170" s="4">
        <v>169</v>
      </c>
      <c r="B170" s="1">
        <v>44365</v>
      </c>
      <c r="C170" s="2" t="s">
        <v>8</v>
      </c>
      <c r="D170" s="2" t="s">
        <v>9</v>
      </c>
      <c r="E170" s="2" t="s">
        <v>10</v>
      </c>
      <c r="F170" s="3">
        <v>2</v>
      </c>
      <c r="G170" s="3">
        <v>210</v>
      </c>
      <c r="H170" s="5">
        <f t="shared" si="2"/>
        <v>420</v>
      </c>
    </row>
    <row r="171" spans="1:8" x14ac:dyDescent="0.25">
      <c r="A171" s="4">
        <v>170</v>
      </c>
      <c r="B171" s="1">
        <v>44366</v>
      </c>
      <c r="C171" s="2" t="s">
        <v>11</v>
      </c>
      <c r="D171" s="2" t="s">
        <v>12</v>
      </c>
      <c r="E171" s="2" t="s">
        <v>15</v>
      </c>
      <c r="F171" s="3">
        <v>7</v>
      </c>
      <c r="G171" s="3">
        <v>2100</v>
      </c>
      <c r="H171" s="5">
        <f t="shared" si="2"/>
        <v>14700</v>
      </c>
    </row>
    <row r="172" spans="1:8" x14ac:dyDescent="0.25">
      <c r="A172" s="4">
        <v>171</v>
      </c>
      <c r="B172" s="1">
        <v>44367</v>
      </c>
      <c r="C172" s="2" t="s">
        <v>14</v>
      </c>
      <c r="D172" s="2" t="s">
        <v>12</v>
      </c>
      <c r="E172" s="2" t="s">
        <v>17</v>
      </c>
      <c r="F172" s="3">
        <v>6</v>
      </c>
      <c r="G172" s="3">
        <v>1200</v>
      </c>
      <c r="H172" s="5">
        <f t="shared" si="2"/>
        <v>7200</v>
      </c>
    </row>
    <row r="173" spans="1:8" x14ac:dyDescent="0.25">
      <c r="A173" s="4">
        <v>172</v>
      </c>
      <c r="B173" s="1">
        <v>44368</v>
      </c>
      <c r="C173" s="2" t="s">
        <v>16</v>
      </c>
      <c r="D173" s="2" t="s">
        <v>9</v>
      </c>
      <c r="E173" s="2" t="s">
        <v>19</v>
      </c>
      <c r="F173" s="3">
        <v>5</v>
      </c>
      <c r="G173" s="3">
        <v>300</v>
      </c>
      <c r="H173" s="5">
        <f t="shared" si="2"/>
        <v>1500</v>
      </c>
    </row>
    <row r="174" spans="1:8" x14ac:dyDescent="0.25">
      <c r="A174" s="4">
        <v>173</v>
      </c>
      <c r="B174" s="1">
        <v>44369</v>
      </c>
      <c r="C174" s="2" t="s">
        <v>18</v>
      </c>
      <c r="D174" s="2" t="s">
        <v>9</v>
      </c>
      <c r="E174" s="2" t="s">
        <v>21</v>
      </c>
      <c r="F174" s="3">
        <v>4</v>
      </c>
      <c r="G174" s="3">
        <v>200</v>
      </c>
      <c r="H174" s="5">
        <f t="shared" si="2"/>
        <v>800</v>
      </c>
    </row>
    <row r="175" spans="1:8" x14ac:dyDescent="0.25">
      <c r="A175" s="4">
        <v>174</v>
      </c>
      <c r="B175" s="1">
        <v>44370</v>
      </c>
      <c r="C175" s="2" t="s">
        <v>20</v>
      </c>
      <c r="D175" s="2" t="s">
        <v>12</v>
      </c>
      <c r="E175" s="2" t="s">
        <v>10</v>
      </c>
      <c r="F175" s="3">
        <v>3</v>
      </c>
      <c r="G175" s="3">
        <v>190</v>
      </c>
      <c r="H175" s="5">
        <f t="shared" si="2"/>
        <v>570</v>
      </c>
    </row>
    <row r="176" spans="1:8" x14ac:dyDescent="0.25">
      <c r="A176" s="4">
        <v>175</v>
      </c>
      <c r="B176" s="1">
        <v>44371</v>
      </c>
      <c r="C176" s="2" t="s">
        <v>20</v>
      </c>
      <c r="D176" s="2" t="s">
        <v>9</v>
      </c>
      <c r="E176" s="2" t="s">
        <v>13</v>
      </c>
      <c r="F176" s="3">
        <v>2</v>
      </c>
      <c r="G176" s="3">
        <v>2100</v>
      </c>
      <c r="H176" s="5">
        <f t="shared" si="2"/>
        <v>4200</v>
      </c>
    </row>
    <row r="177" spans="1:8" x14ac:dyDescent="0.25">
      <c r="A177" s="4">
        <v>176</v>
      </c>
      <c r="B177" s="1">
        <v>44372</v>
      </c>
      <c r="C177" s="2" t="s">
        <v>8</v>
      </c>
      <c r="D177" s="2" t="s">
        <v>9</v>
      </c>
      <c r="E177" s="2" t="s">
        <v>10</v>
      </c>
      <c r="F177" s="3">
        <v>7</v>
      </c>
      <c r="G177" s="3">
        <v>210</v>
      </c>
      <c r="H177" s="5">
        <f t="shared" si="2"/>
        <v>1470</v>
      </c>
    </row>
    <row r="178" spans="1:8" x14ac:dyDescent="0.25">
      <c r="A178" s="4">
        <v>177</v>
      </c>
      <c r="B178" s="1">
        <v>44373</v>
      </c>
      <c r="C178" s="2" t="s">
        <v>11</v>
      </c>
      <c r="D178" s="2" t="s">
        <v>9</v>
      </c>
      <c r="E178" s="2" t="s">
        <v>10</v>
      </c>
      <c r="F178" s="3">
        <v>3</v>
      </c>
      <c r="G178" s="3">
        <v>190</v>
      </c>
      <c r="H178" s="5">
        <f t="shared" si="2"/>
        <v>570</v>
      </c>
    </row>
    <row r="179" spans="1:8" x14ac:dyDescent="0.25">
      <c r="A179" s="4">
        <v>178</v>
      </c>
      <c r="B179" s="1">
        <v>44374</v>
      </c>
      <c r="C179" s="2" t="s">
        <v>14</v>
      </c>
      <c r="D179" s="2" t="s">
        <v>9</v>
      </c>
      <c r="E179" s="2" t="s">
        <v>10</v>
      </c>
      <c r="F179" s="3">
        <v>3</v>
      </c>
      <c r="G179" s="3">
        <v>190</v>
      </c>
      <c r="H179" s="5">
        <f t="shared" si="2"/>
        <v>570</v>
      </c>
    </row>
    <row r="180" spans="1:8" x14ac:dyDescent="0.25">
      <c r="A180" s="4">
        <v>179</v>
      </c>
      <c r="B180" s="1">
        <v>44375</v>
      </c>
      <c r="C180" s="2" t="s">
        <v>16</v>
      </c>
      <c r="D180" s="2" t="s">
        <v>9</v>
      </c>
      <c r="E180" s="2" t="s">
        <v>10</v>
      </c>
      <c r="F180" s="3">
        <v>3</v>
      </c>
      <c r="G180" s="3">
        <v>190</v>
      </c>
      <c r="H180" s="5">
        <f t="shared" si="2"/>
        <v>570</v>
      </c>
    </row>
    <row r="181" spans="1:8" x14ac:dyDescent="0.25">
      <c r="A181" s="4">
        <v>180</v>
      </c>
      <c r="B181" s="1">
        <v>44376</v>
      </c>
      <c r="C181" s="2" t="s">
        <v>18</v>
      </c>
      <c r="D181" s="2" t="s">
        <v>9</v>
      </c>
      <c r="E181" s="2" t="s">
        <v>10</v>
      </c>
      <c r="F181" s="3">
        <v>3</v>
      </c>
      <c r="G181" s="3">
        <v>190</v>
      </c>
      <c r="H181" s="5">
        <f t="shared" si="2"/>
        <v>570</v>
      </c>
    </row>
    <row r="182" spans="1:8" x14ac:dyDescent="0.25">
      <c r="A182" s="4">
        <v>181</v>
      </c>
      <c r="B182" s="1">
        <v>44377</v>
      </c>
      <c r="C182" s="2" t="s">
        <v>20</v>
      </c>
      <c r="D182" s="2" t="s">
        <v>9</v>
      </c>
      <c r="E182" s="2" t="s">
        <v>10</v>
      </c>
      <c r="F182" s="3">
        <v>3</v>
      </c>
      <c r="G182" s="3">
        <v>190</v>
      </c>
      <c r="H182" s="5">
        <f t="shared" si="2"/>
        <v>570</v>
      </c>
    </row>
    <row r="183" spans="1:8" x14ac:dyDescent="0.25">
      <c r="A183" s="4">
        <v>182</v>
      </c>
      <c r="B183" s="1">
        <v>44378</v>
      </c>
      <c r="C183" s="2" t="s">
        <v>8</v>
      </c>
      <c r="D183" s="2" t="s">
        <v>9</v>
      </c>
      <c r="E183" s="2" t="s">
        <v>10</v>
      </c>
      <c r="F183" s="3">
        <v>3</v>
      </c>
      <c r="G183" s="3">
        <v>190</v>
      </c>
      <c r="H183" s="5">
        <f t="shared" si="2"/>
        <v>570</v>
      </c>
    </row>
    <row r="184" spans="1:8" x14ac:dyDescent="0.25">
      <c r="A184" s="4">
        <v>183</v>
      </c>
      <c r="B184" s="1">
        <v>44379</v>
      </c>
      <c r="C184" s="2" t="s">
        <v>11</v>
      </c>
      <c r="D184" s="2" t="s">
        <v>12</v>
      </c>
      <c r="E184" s="2" t="s">
        <v>10</v>
      </c>
      <c r="F184" s="3">
        <v>3</v>
      </c>
      <c r="G184" s="3">
        <v>190</v>
      </c>
      <c r="H184" s="5">
        <f t="shared" si="2"/>
        <v>570</v>
      </c>
    </row>
    <row r="185" spans="1:8" x14ac:dyDescent="0.25">
      <c r="A185" s="4">
        <v>184</v>
      </c>
      <c r="B185" s="1">
        <v>44380</v>
      </c>
      <c r="C185" s="2" t="s">
        <v>14</v>
      </c>
      <c r="D185" s="2" t="s">
        <v>9</v>
      </c>
      <c r="E185" s="2" t="s">
        <v>15</v>
      </c>
      <c r="F185" s="3">
        <v>5</v>
      </c>
      <c r="G185" s="3">
        <v>1200</v>
      </c>
      <c r="H185" s="5">
        <f t="shared" si="2"/>
        <v>6000</v>
      </c>
    </row>
    <row r="186" spans="1:8" x14ac:dyDescent="0.25">
      <c r="A186" s="4">
        <v>185</v>
      </c>
      <c r="B186" s="1">
        <v>44381</v>
      </c>
      <c r="C186" s="2" t="s">
        <v>16</v>
      </c>
      <c r="D186" s="2" t="s">
        <v>12</v>
      </c>
      <c r="E186" s="2" t="s">
        <v>17</v>
      </c>
      <c r="F186" s="3">
        <v>4</v>
      </c>
      <c r="G186" s="3">
        <v>1500</v>
      </c>
      <c r="H186" s="5">
        <f t="shared" si="2"/>
        <v>6000</v>
      </c>
    </row>
    <row r="187" spans="1:8" x14ac:dyDescent="0.25">
      <c r="A187" s="4">
        <v>186</v>
      </c>
      <c r="B187" s="1">
        <v>44382</v>
      </c>
      <c r="C187" s="2" t="s">
        <v>18</v>
      </c>
      <c r="D187" s="2" t="s">
        <v>9</v>
      </c>
      <c r="E187" s="2" t="s">
        <v>19</v>
      </c>
      <c r="F187" s="3">
        <v>3</v>
      </c>
      <c r="G187" s="3">
        <v>300</v>
      </c>
      <c r="H187" s="5">
        <f t="shared" si="2"/>
        <v>900</v>
      </c>
    </row>
    <row r="188" spans="1:8" x14ac:dyDescent="0.25">
      <c r="A188" s="4">
        <v>187</v>
      </c>
      <c r="B188" s="1">
        <v>44383</v>
      </c>
      <c r="C188" s="2" t="s">
        <v>20</v>
      </c>
      <c r="D188" s="2" t="s">
        <v>9</v>
      </c>
      <c r="E188" s="2" t="s">
        <v>21</v>
      </c>
      <c r="F188" s="3">
        <v>2</v>
      </c>
      <c r="G188" s="3">
        <v>190</v>
      </c>
      <c r="H188" s="5">
        <f t="shared" si="2"/>
        <v>380</v>
      </c>
    </row>
    <row r="189" spans="1:8" x14ac:dyDescent="0.25">
      <c r="A189" s="4">
        <v>188</v>
      </c>
      <c r="B189" s="1">
        <v>44384</v>
      </c>
      <c r="C189" s="2" t="s">
        <v>20</v>
      </c>
      <c r="D189" s="2" t="s">
        <v>9</v>
      </c>
      <c r="E189" s="2" t="s">
        <v>10</v>
      </c>
      <c r="F189" s="3">
        <v>2</v>
      </c>
      <c r="G189" s="3">
        <v>210</v>
      </c>
      <c r="H189" s="5">
        <f t="shared" si="2"/>
        <v>420</v>
      </c>
    </row>
    <row r="190" spans="1:8" x14ac:dyDescent="0.25">
      <c r="A190" s="4">
        <v>189</v>
      </c>
      <c r="B190" s="1">
        <v>44385</v>
      </c>
      <c r="C190" s="2" t="s">
        <v>8</v>
      </c>
      <c r="D190" s="2" t="s">
        <v>9</v>
      </c>
      <c r="E190" s="2" t="s">
        <v>13</v>
      </c>
      <c r="F190" s="3">
        <v>7</v>
      </c>
      <c r="G190" s="3">
        <v>2100</v>
      </c>
      <c r="H190" s="5">
        <f t="shared" si="2"/>
        <v>14700</v>
      </c>
    </row>
    <row r="191" spans="1:8" x14ac:dyDescent="0.25">
      <c r="A191" s="4">
        <v>190</v>
      </c>
      <c r="B191" s="1">
        <v>44386</v>
      </c>
      <c r="C191" s="2" t="s">
        <v>8</v>
      </c>
      <c r="D191" s="2" t="s">
        <v>12</v>
      </c>
      <c r="E191" s="2" t="s">
        <v>15</v>
      </c>
      <c r="F191" s="3">
        <v>6</v>
      </c>
      <c r="G191" s="3">
        <v>1200</v>
      </c>
      <c r="H191" s="5">
        <f t="shared" si="2"/>
        <v>7200</v>
      </c>
    </row>
    <row r="192" spans="1:8" x14ac:dyDescent="0.25">
      <c r="A192" s="4">
        <v>191</v>
      </c>
      <c r="B192" s="1">
        <v>44387</v>
      </c>
      <c r="C192" s="2" t="s">
        <v>8</v>
      </c>
      <c r="D192" s="2" t="s">
        <v>22</v>
      </c>
      <c r="E192" s="2" t="s">
        <v>17</v>
      </c>
      <c r="F192" s="3">
        <v>5</v>
      </c>
      <c r="G192" s="3">
        <v>1500</v>
      </c>
      <c r="H192" s="5">
        <f t="shared" si="2"/>
        <v>7500</v>
      </c>
    </row>
    <row r="193" spans="1:8" x14ac:dyDescent="0.25">
      <c r="A193" s="4">
        <v>192</v>
      </c>
      <c r="B193" s="1">
        <v>44388</v>
      </c>
      <c r="C193" s="2" t="s">
        <v>8</v>
      </c>
      <c r="D193" s="2" t="s">
        <v>23</v>
      </c>
      <c r="E193" s="2" t="s">
        <v>19</v>
      </c>
      <c r="F193" s="3">
        <v>4</v>
      </c>
      <c r="G193" s="3">
        <v>300</v>
      </c>
      <c r="H193" s="5">
        <f t="shared" si="2"/>
        <v>1200</v>
      </c>
    </row>
    <row r="194" spans="1:8" x14ac:dyDescent="0.25">
      <c r="A194" s="4">
        <v>193</v>
      </c>
      <c r="B194" s="1">
        <v>44389</v>
      </c>
      <c r="C194" s="2" t="s">
        <v>8</v>
      </c>
      <c r="D194" s="2" t="s">
        <v>9</v>
      </c>
      <c r="E194" s="2" t="s">
        <v>21</v>
      </c>
      <c r="F194" s="3">
        <v>3</v>
      </c>
      <c r="G194" s="3">
        <v>190</v>
      </c>
      <c r="H194" s="5">
        <f t="shared" si="2"/>
        <v>570</v>
      </c>
    </row>
    <row r="195" spans="1:8" x14ac:dyDescent="0.25">
      <c r="A195" s="4">
        <v>194</v>
      </c>
      <c r="B195" s="1">
        <v>44390</v>
      </c>
      <c r="C195" s="2" t="s">
        <v>8</v>
      </c>
      <c r="D195" s="2" t="s">
        <v>12</v>
      </c>
      <c r="E195" s="2" t="s">
        <v>10</v>
      </c>
      <c r="F195" s="3">
        <v>2</v>
      </c>
      <c r="G195" s="3">
        <v>210</v>
      </c>
      <c r="H195" s="5">
        <f t="shared" ref="H195:H258" si="3">F195*G195</f>
        <v>420</v>
      </c>
    </row>
    <row r="196" spans="1:8" x14ac:dyDescent="0.25">
      <c r="A196" s="4">
        <v>195</v>
      </c>
      <c r="B196" s="1">
        <v>44391</v>
      </c>
      <c r="C196" s="2" t="s">
        <v>8</v>
      </c>
      <c r="D196" s="2" t="s">
        <v>22</v>
      </c>
      <c r="E196" s="2" t="s">
        <v>15</v>
      </c>
      <c r="F196" s="3">
        <v>7</v>
      </c>
      <c r="G196" s="3">
        <v>2100</v>
      </c>
      <c r="H196" s="5">
        <f t="shared" si="3"/>
        <v>14700</v>
      </c>
    </row>
    <row r="197" spans="1:8" x14ac:dyDescent="0.25">
      <c r="A197" s="4">
        <v>196</v>
      </c>
      <c r="B197" s="1">
        <v>44392</v>
      </c>
      <c r="C197" s="2" t="s">
        <v>8</v>
      </c>
      <c r="D197" s="2" t="s">
        <v>23</v>
      </c>
      <c r="E197" s="2" t="s">
        <v>17</v>
      </c>
      <c r="F197" s="3">
        <v>6</v>
      </c>
      <c r="G197" s="3">
        <v>1200</v>
      </c>
      <c r="H197" s="5">
        <f t="shared" si="3"/>
        <v>7200</v>
      </c>
    </row>
    <row r="198" spans="1:8" x14ac:dyDescent="0.25">
      <c r="A198" s="4">
        <v>197</v>
      </c>
      <c r="B198" s="1">
        <v>44393</v>
      </c>
      <c r="C198" s="2" t="s">
        <v>11</v>
      </c>
      <c r="D198" s="2" t="s">
        <v>12</v>
      </c>
      <c r="E198" s="2" t="s">
        <v>19</v>
      </c>
      <c r="F198" s="3">
        <v>5</v>
      </c>
      <c r="G198" s="3">
        <v>300</v>
      </c>
      <c r="H198" s="5">
        <f t="shared" si="3"/>
        <v>1500</v>
      </c>
    </row>
    <row r="199" spans="1:8" x14ac:dyDescent="0.25">
      <c r="A199" s="4">
        <v>198</v>
      </c>
      <c r="B199" s="1">
        <v>44394</v>
      </c>
      <c r="C199" s="2" t="s">
        <v>11</v>
      </c>
      <c r="D199" s="2" t="s">
        <v>9</v>
      </c>
      <c r="E199" s="2" t="s">
        <v>21</v>
      </c>
      <c r="F199" s="3">
        <v>4</v>
      </c>
      <c r="G199" s="3">
        <v>200</v>
      </c>
      <c r="H199" s="5">
        <f t="shared" si="3"/>
        <v>800</v>
      </c>
    </row>
    <row r="200" spans="1:8" x14ac:dyDescent="0.25">
      <c r="A200" s="4">
        <v>199</v>
      </c>
      <c r="B200" s="1">
        <v>44395</v>
      </c>
      <c r="C200" s="2" t="s">
        <v>11</v>
      </c>
      <c r="D200" s="2" t="s">
        <v>22</v>
      </c>
      <c r="E200" s="2" t="s">
        <v>10</v>
      </c>
      <c r="F200" s="3">
        <v>3</v>
      </c>
      <c r="G200" s="3">
        <v>190</v>
      </c>
      <c r="H200" s="5">
        <f t="shared" si="3"/>
        <v>570</v>
      </c>
    </row>
    <row r="201" spans="1:8" x14ac:dyDescent="0.25">
      <c r="A201" s="4">
        <v>200</v>
      </c>
      <c r="B201" s="1">
        <v>44396</v>
      </c>
      <c r="C201" s="2" t="s">
        <v>11</v>
      </c>
      <c r="D201" s="2" t="s">
        <v>23</v>
      </c>
      <c r="E201" s="2" t="s">
        <v>13</v>
      </c>
      <c r="F201" s="3">
        <v>2</v>
      </c>
      <c r="G201" s="3">
        <v>2100</v>
      </c>
      <c r="H201" s="5">
        <f t="shared" si="3"/>
        <v>4200</v>
      </c>
    </row>
    <row r="202" spans="1:8" x14ac:dyDescent="0.25">
      <c r="A202" s="4">
        <v>201</v>
      </c>
      <c r="B202" s="1">
        <v>44397</v>
      </c>
      <c r="C202" s="2" t="s">
        <v>11</v>
      </c>
      <c r="D202" s="2" t="s">
        <v>12</v>
      </c>
      <c r="E202" s="2" t="s">
        <v>10</v>
      </c>
      <c r="F202" s="3">
        <v>7</v>
      </c>
      <c r="G202" s="3">
        <v>210</v>
      </c>
      <c r="H202" s="5">
        <f t="shared" si="3"/>
        <v>1470</v>
      </c>
    </row>
    <row r="203" spans="1:8" x14ac:dyDescent="0.25">
      <c r="A203" s="4">
        <v>202</v>
      </c>
      <c r="B203" s="1">
        <v>44398</v>
      </c>
      <c r="C203" s="2" t="s">
        <v>11</v>
      </c>
      <c r="D203" s="2" t="s">
        <v>9</v>
      </c>
      <c r="E203" s="2" t="s">
        <v>13</v>
      </c>
      <c r="F203" s="3">
        <v>6</v>
      </c>
      <c r="G203" s="3">
        <v>2100</v>
      </c>
      <c r="H203" s="5">
        <f t="shared" si="3"/>
        <v>12600</v>
      </c>
    </row>
    <row r="204" spans="1:8" x14ac:dyDescent="0.25">
      <c r="A204" s="4">
        <v>203</v>
      </c>
      <c r="B204" s="1">
        <v>44399</v>
      </c>
      <c r="C204" s="2" t="s">
        <v>11</v>
      </c>
      <c r="D204" s="2" t="s">
        <v>22</v>
      </c>
      <c r="E204" s="2" t="s">
        <v>15</v>
      </c>
      <c r="F204" s="3">
        <v>5</v>
      </c>
      <c r="G204" s="3">
        <v>1200</v>
      </c>
      <c r="H204" s="5">
        <f t="shared" si="3"/>
        <v>6000</v>
      </c>
    </row>
    <row r="205" spans="1:8" x14ac:dyDescent="0.25">
      <c r="A205" s="4">
        <v>204</v>
      </c>
      <c r="B205" s="1">
        <v>44400</v>
      </c>
      <c r="C205" s="2" t="s">
        <v>11</v>
      </c>
      <c r="D205" s="2" t="s">
        <v>23</v>
      </c>
      <c r="E205" s="2" t="s">
        <v>17</v>
      </c>
      <c r="F205" s="3">
        <v>4</v>
      </c>
      <c r="G205" s="3">
        <v>1500</v>
      </c>
      <c r="H205" s="5">
        <f t="shared" si="3"/>
        <v>6000</v>
      </c>
    </row>
    <row r="206" spans="1:8" x14ac:dyDescent="0.25">
      <c r="A206" s="4">
        <v>205</v>
      </c>
      <c r="B206" s="1">
        <v>44401</v>
      </c>
      <c r="C206" s="2" t="s">
        <v>14</v>
      </c>
      <c r="D206" s="2" t="s">
        <v>23</v>
      </c>
      <c r="E206" s="2" t="s">
        <v>19</v>
      </c>
      <c r="F206" s="3">
        <v>3</v>
      </c>
      <c r="G206" s="3">
        <v>300</v>
      </c>
      <c r="H206" s="5">
        <f t="shared" si="3"/>
        <v>900</v>
      </c>
    </row>
    <row r="207" spans="1:8" x14ac:dyDescent="0.25">
      <c r="A207" s="4">
        <v>206</v>
      </c>
      <c r="B207" s="1">
        <v>44402</v>
      </c>
      <c r="C207" s="2" t="s">
        <v>16</v>
      </c>
      <c r="D207" s="2" t="s">
        <v>23</v>
      </c>
      <c r="E207" s="2" t="s">
        <v>21</v>
      </c>
      <c r="F207" s="3">
        <v>2</v>
      </c>
      <c r="G207" s="3">
        <v>190</v>
      </c>
      <c r="H207" s="5">
        <f t="shared" si="3"/>
        <v>380</v>
      </c>
    </row>
    <row r="208" spans="1:8" x14ac:dyDescent="0.25">
      <c r="A208" s="4">
        <v>207</v>
      </c>
      <c r="B208" s="1">
        <v>44403</v>
      </c>
      <c r="C208" s="2" t="s">
        <v>18</v>
      </c>
      <c r="D208" s="2" t="s">
        <v>23</v>
      </c>
      <c r="E208" s="2" t="s">
        <v>10</v>
      </c>
      <c r="F208" s="3">
        <v>7</v>
      </c>
      <c r="G208" s="3">
        <v>210</v>
      </c>
      <c r="H208" s="5">
        <f t="shared" si="3"/>
        <v>1470</v>
      </c>
    </row>
    <row r="209" spans="1:8" x14ac:dyDescent="0.25">
      <c r="A209" s="4">
        <v>208</v>
      </c>
      <c r="B209" s="1">
        <v>44404</v>
      </c>
      <c r="C209" s="2" t="s">
        <v>20</v>
      </c>
      <c r="D209" s="2" t="s">
        <v>23</v>
      </c>
      <c r="E209" s="2" t="s">
        <v>13</v>
      </c>
      <c r="F209" s="3">
        <v>6</v>
      </c>
      <c r="G209" s="3">
        <v>2100</v>
      </c>
      <c r="H209" s="5">
        <f t="shared" si="3"/>
        <v>12600</v>
      </c>
    </row>
    <row r="210" spans="1:8" x14ac:dyDescent="0.25">
      <c r="A210" s="4">
        <v>209</v>
      </c>
      <c r="B210" s="1">
        <v>44405</v>
      </c>
      <c r="C210" s="2" t="s">
        <v>20</v>
      </c>
      <c r="D210" s="2" t="s">
        <v>9</v>
      </c>
      <c r="E210" s="2" t="s">
        <v>15</v>
      </c>
      <c r="F210" s="3">
        <v>5</v>
      </c>
      <c r="G210" s="3">
        <v>1200</v>
      </c>
      <c r="H210" s="5">
        <f t="shared" si="3"/>
        <v>6000</v>
      </c>
    </row>
    <row r="211" spans="1:8" x14ac:dyDescent="0.25">
      <c r="A211" s="4">
        <v>210</v>
      </c>
      <c r="B211" s="1">
        <v>44406</v>
      </c>
      <c r="C211" s="2" t="s">
        <v>20</v>
      </c>
      <c r="D211" s="2" t="s">
        <v>12</v>
      </c>
      <c r="E211" s="2" t="s">
        <v>17</v>
      </c>
      <c r="F211" s="3">
        <v>4</v>
      </c>
      <c r="G211" s="3">
        <v>1500</v>
      </c>
      <c r="H211" s="5">
        <f t="shared" si="3"/>
        <v>6000</v>
      </c>
    </row>
    <row r="212" spans="1:8" x14ac:dyDescent="0.25">
      <c r="A212" s="4">
        <v>211</v>
      </c>
      <c r="B212" s="1">
        <v>44407</v>
      </c>
      <c r="C212" s="2" t="s">
        <v>20</v>
      </c>
      <c r="D212" s="2" t="s">
        <v>22</v>
      </c>
      <c r="E212" s="2" t="s">
        <v>19</v>
      </c>
      <c r="F212" s="3">
        <v>3</v>
      </c>
      <c r="G212" s="3">
        <v>300</v>
      </c>
      <c r="H212" s="5">
        <f t="shared" si="3"/>
        <v>900</v>
      </c>
    </row>
    <row r="213" spans="1:8" x14ac:dyDescent="0.25">
      <c r="A213" s="4">
        <v>212</v>
      </c>
      <c r="B213" s="1">
        <v>44408</v>
      </c>
      <c r="C213" s="2" t="s">
        <v>20</v>
      </c>
      <c r="D213" s="2" t="s">
        <v>23</v>
      </c>
      <c r="E213" s="2" t="s">
        <v>21</v>
      </c>
      <c r="F213" s="3">
        <v>2</v>
      </c>
      <c r="G213" s="3">
        <v>190</v>
      </c>
      <c r="H213" s="5">
        <f t="shared" si="3"/>
        <v>380</v>
      </c>
    </row>
    <row r="214" spans="1:8" x14ac:dyDescent="0.25">
      <c r="A214" s="4">
        <v>213</v>
      </c>
      <c r="B214" s="1">
        <v>44409</v>
      </c>
      <c r="C214" s="2" t="s">
        <v>20</v>
      </c>
      <c r="D214" s="2" t="s">
        <v>9</v>
      </c>
      <c r="E214" s="2" t="s">
        <v>10</v>
      </c>
      <c r="F214" s="3">
        <v>2</v>
      </c>
      <c r="G214" s="3">
        <v>210</v>
      </c>
      <c r="H214" s="5">
        <f t="shared" si="3"/>
        <v>420</v>
      </c>
    </row>
    <row r="215" spans="1:8" x14ac:dyDescent="0.25">
      <c r="A215" s="4">
        <v>214</v>
      </c>
      <c r="B215" s="1">
        <v>44410</v>
      </c>
      <c r="C215" s="2" t="s">
        <v>20</v>
      </c>
      <c r="D215" s="2" t="s">
        <v>12</v>
      </c>
      <c r="E215" s="2" t="s">
        <v>13</v>
      </c>
      <c r="F215" s="3">
        <v>7</v>
      </c>
      <c r="G215" s="3">
        <v>2100</v>
      </c>
      <c r="H215" s="5">
        <f t="shared" si="3"/>
        <v>14700</v>
      </c>
    </row>
    <row r="216" spans="1:8" x14ac:dyDescent="0.25">
      <c r="A216" s="4">
        <v>215</v>
      </c>
      <c r="B216" s="1">
        <v>44411</v>
      </c>
      <c r="C216" s="2" t="s">
        <v>20</v>
      </c>
      <c r="D216" s="2" t="s">
        <v>22</v>
      </c>
      <c r="E216" s="2" t="s">
        <v>15</v>
      </c>
      <c r="F216" s="3">
        <v>6</v>
      </c>
      <c r="G216" s="3">
        <v>1200</v>
      </c>
      <c r="H216" s="5">
        <f t="shared" si="3"/>
        <v>7200</v>
      </c>
    </row>
    <row r="217" spans="1:8" x14ac:dyDescent="0.25">
      <c r="A217" s="4">
        <v>216</v>
      </c>
      <c r="B217" s="1">
        <v>44412</v>
      </c>
      <c r="C217" s="2" t="s">
        <v>20</v>
      </c>
      <c r="D217" s="2" t="s">
        <v>23</v>
      </c>
      <c r="E217" s="2" t="s">
        <v>17</v>
      </c>
      <c r="F217" s="3">
        <v>5</v>
      </c>
      <c r="G217" s="3">
        <v>1500</v>
      </c>
      <c r="H217" s="5">
        <f t="shared" si="3"/>
        <v>7500</v>
      </c>
    </row>
    <row r="218" spans="1:8" x14ac:dyDescent="0.25">
      <c r="A218" s="4">
        <v>217</v>
      </c>
      <c r="B218" s="1">
        <v>44413</v>
      </c>
      <c r="C218" s="2" t="s">
        <v>8</v>
      </c>
      <c r="D218" s="2" t="s">
        <v>9</v>
      </c>
      <c r="E218" s="2" t="s">
        <v>19</v>
      </c>
      <c r="F218" s="3">
        <v>4</v>
      </c>
      <c r="G218" s="3">
        <v>300</v>
      </c>
      <c r="H218" s="5">
        <f t="shared" si="3"/>
        <v>1200</v>
      </c>
    </row>
    <row r="219" spans="1:8" x14ac:dyDescent="0.25">
      <c r="A219" s="4">
        <v>218</v>
      </c>
      <c r="B219" s="1">
        <v>44414</v>
      </c>
      <c r="C219" s="2" t="s">
        <v>11</v>
      </c>
      <c r="D219" s="2" t="s">
        <v>12</v>
      </c>
      <c r="E219" s="2" t="s">
        <v>21</v>
      </c>
      <c r="F219" s="3">
        <v>3</v>
      </c>
      <c r="G219" s="3">
        <v>190</v>
      </c>
      <c r="H219" s="5">
        <f t="shared" si="3"/>
        <v>570</v>
      </c>
    </row>
    <row r="220" spans="1:8" x14ac:dyDescent="0.25">
      <c r="A220" s="4">
        <v>219</v>
      </c>
      <c r="B220" s="1">
        <v>44415</v>
      </c>
      <c r="C220" s="2" t="s">
        <v>14</v>
      </c>
      <c r="D220" s="2" t="s">
        <v>9</v>
      </c>
      <c r="E220" s="2" t="s">
        <v>10</v>
      </c>
      <c r="F220" s="3">
        <v>2</v>
      </c>
      <c r="G220" s="3">
        <v>210</v>
      </c>
      <c r="H220" s="5">
        <f t="shared" si="3"/>
        <v>420</v>
      </c>
    </row>
    <row r="221" spans="1:8" x14ac:dyDescent="0.25">
      <c r="A221" s="4">
        <v>220</v>
      </c>
      <c r="B221" s="1">
        <v>44416</v>
      </c>
      <c r="C221" s="2" t="s">
        <v>16</v>
      </c>
      <c r="D221" s="2" t="s">
        <v>12</v>
      </c>
      <c r="E221" s="2" t="s">
        <v>15</v>
      </c>
      <c r="F221" s="3">
        <v>7</v>
      </c>
      <c r="G221" s="3">
        <v>2100</v>
      </c>
      <c r="H221" s="5">
        <f t="shared" si="3"/>
        <v>14700</v>
      </c>
    </row>
    <row r="222" spans="1:8" x14ac:dyDescent="0.25">
      <c r="A222" s="4">
        <v>221</v>
      </c>
      <c r="B222" s="1">
        <v>44417</v>
      </c>
      <c r="C222" s="2" t="s">
        <v>18</v>
      </c>
      <c r="D222" s="2" t="s">
        <v>9</v>
      </c>
      <c r="E222" s="2" t="s">
        <v>17</v>
      </c>
      <c r="F222" s="3">
        <v>6</v>
      </c>
      <c r="G222" s="3">
        <v>1200</v>
      </c>
      <c r="H222" s="5">
        <f t="shared" si="3"/>
        <v>7200</v>
      </c>
    </row>
    <row r="223" spans="1:8" x14ac:dyDescent="0.25">
      <c r="A223" s="4">
        <v>222</v>
      </c>
      <c r="B223" s="1">
        <v>44418</v>
      </c>
      <c r="C223" s="2" t="s">
        <v>20</v>
      </c>
      <c r="D223" s="2" t="s">
        <v>9</v>
      </c>
      <c r="E223" s="2" t="s">
        <v>19</v>
      </c>
      <c r="F223" s="3">
        <v>5</v>
      </c>
      <c r="G223" s="3">
        <v>300</v>
      </c>
      <c r="H223" s="5">
        <f t="shared" si="3"/>
        <v>1500</v>
      </c>
    </row>
    <row r="224" spans="1:8" x14ac:dyDescent="0.25">
      <c r="A224" s="4">
        <v>223</v>
      </c>
      <c r="B224" s="1">
        <v>44419</v>
      </c>
      <c r="C224" s="2" t="s">
        <v>8</v>
      </c>
      <c r="D224" s="2" t="s">
        <v>9</v>
      </c>
      <c r="E224" s="2" t="s">
        <v>21</v>
      </c>
      <c r="F224" s="3">
        <v>4</v>
      </c>
      <c r="G224" s="3">
        <v>200</v>
      </c>
      <c r="H224" s="5">
        <f t="shared" si="3"/>
        <v>800</v>
      </c>
    </row>
    <row r="225" spans="1:8" x14ac:dyDescent="0.25">
      <c r="A225" s="4">
        <v>224</v>
      </c>
      <c r="B225" s="1">
        <v>44420</v>
      </c>
      <c r="C225" s="2" t="s">
        <v>11</v>
      </c>
      <c r="D225" s="2" t="s">
        <v>12</v>
      </c>
      <c r="E225" s="2" t="s">
        <v>10</v>
      </c>
      <c r="F225" s="3">
        <v>3</v>
      </c>
      <c r="G225" s="3">
        <v>190</v>
      </c>
      <c r="H225" s="5">
        <f t="shared" si="3"/>
        <v>570</v>
      </c>
    </row>
    <row r="226" spans="1:8" x14ac:dyDescent="0.25">
      <c r="A226" s="4">
        <v>225</v>
      </c>
      <c r="B226" s="1">
        <v>44421</v>
      </c>
      <c r="C226" s="2" t="s">
        <v>14</v>
      </c>
      <c r="D226" s="2" t="s">
        <v>12</v>
      </c>
      <c r="E226" s="2" t="s">
        <v>13</v>
      </c>
      <c r="F226" s="3">
        <v>2</v>
      </c>
      <c r="G226" s="3">
        <v>2100</v>
      </c>
      <c r="H226" s="5">
        <f t="shared" si="3"/>
        <v>4200</v>
      </c>
    </row>
    <row r="227" spans="1:8" x14ac:dyDescent="0.25">
      <c r="A227" s="4">
        <v>226</v>
      </c>
      <c r="B227" s="1">
        <v>44422</v>
      </c>
      <c r="C227" s="2" t="s">
        <v>16</v>
      </c>
      <c r="D227" s="2" t="s">
        <v>9</v>
      </c>
      <c r="E227" s="2" t="s">
        <v>10</v>
      </c>
      <c r="F227" s="3">
        <v>7</v>
      </c>
      <c r="G227" s="3">
        <v>210</v>
      </c>
      <c r="H227" s="5">
        <f t="shared" si="3"/>
        <v>1470</v>
      </c>
    </row>
    <row r="228" spans="1:8" x14ac:dyDescent="0.25">
      <c r="A228" s="4">
        <v>227</v>
      </c>
      <c r="B228" s="1">
        <v>44423</v>
      </c>
      <c r="C228" s="2" t="s">
        <v>18</v>
      </c>
      <c r="D228" s="2" t="s">
        <v>9</v>
      </c>
      <c r="E228" s="2" t="s">
        <v>13</v>
      </c>
      <c r="F228" s="3">
        <v>6</v>
      </c>
      <c r="G228" s="3">
        <v>2100</v>
      </c>
      <c r="H228" s="5">
        <f t="shared" si="3"/>
        <v>12600</v>
      </c>
    </row>
    <row r="229" spans="1:8" x14ac:dyDescent="0.25">
      <c r="A229" s="4">
        <v>228</v>
      </c>
      <c r="B229" s="1">
        <v>44424</v>
      </c>
      <c r="C229" s="2" t="s">
        <v>20</v>
      </c>
      <c r="D229" s="2" t="s">
        <v>12</v>
      </c>
      <c r="E229" s="2" t="s">
        <v>15</v>
      </c>
      <c r="F229" s="3">
        <v>5</v>
      </c>
      <c r="G229" s="3">
        <v>1200</v>
      </c>
      <c r="H229" s="5">
        <f t="shared" si="3"/>
        <v>6000</v>
      </c>
    </row>
    <row r="230" spans="1:8" x14ac:dyDescent="0.25">
      <c r="A230" s="4">
        <v>229</v>
      </c>
      <c r="B230" s="1">
        <v>44425</v>
      </c>
      <c r="C230" s="2" t="s">
        <v>20</v>
      </c>
      <c r="D230" s="2" t="s">
        <v>9</v>
      </c>
      <c r="E230" s="2" t="s">
        <v>17</v>
      </c>
      <c r="F230" s="3">
        <v>4</v>
      </c>
      <c r="G230" s="3">
        <v>1500</v>
      </c>
      <c r="H230" s="5">
        <f t="shared" si="3"/>
        <v>6000</v>
      </c>
    </row>
    <row r="231" spans="1:8" x14ac:dyDescent="0.25">
      <c r="A231" s="4">
        <v>230</v>
      </c>
      <c r="B231" s="1">
        <v>44426</v>
      </c>
      <c r="C231" s="2" t="s">
        <v>8</v>
      </c>
      <c r="D231" s="2" t="s">
        <v>9</v>
      </c>
      <c r="E231" s="2" t="s">
        <v>19</v>
      </c>
      <c r="F231" s="3">
        <v>3</v>
      </c>
      <c r="G231" s="3">
        <v>300</v>
      </c>
      <c r="H231" s="5">
        <f t="shared" si="3"/>
        <v>900</v>
      </c>
    </row>
    <row r="232" spans="1:8" x14ac:dyDescent="0.25">
      <c r="A232" s="4">
        <v>231</v>
      </c>
      <c r="B232" s="1">
        <v>44427</v>
      </c>
      <c r="C232" s="2" t="s">
        <v>11</v>
      </c>
      <c r="D232" s="2" t="s">
        <v>9</v>
      </c>
      <c r="E232" s="2" t="s">
        <v>21</v>
      </c>
      <c r="F232" s="3">
        <v>2</v>
      </c>
      <c r="G232" s="3">
        <v>190</v>
      </c>
      <c r="H232" s="5">
        <f t="shared" si="3"/>
        <v>380</v>
      </c>
    </row>
    <row r="233" spans="1:8" x14ac:dyDescent="0.25">
      <c r="A233" s="4">
        <v>232</v>
      </c>
      <c r="B233" s="1">
        <v>44428</v>
      </c>
      <c r="C233" s="2" t="s">
        <v>14</v>
      </c>
      <c r="D233" s="2" t="s">
        <v>9</v>
      </c>
      <c r="E233" s="2" t="s">
        <v>10</v>
      </c>
      <c r="F233" s="3">
        <v>7</v>
      </c>
      <c r="G233" s="3">
        <v>210</v>
      </c>
      <c r="H233" s="5">
        <f t="shared" si="3"/>
        <v>1470</v>
      </c>
    </row>
    <row r="234" spans="1:8" x14ac:dyDescent="0.25">
      <c r="A234" s="4">
        <v>233</v>
      </c>
      <c r="B234" s="1">
        <v>44429</v>
      </c>
      <c r="C234" s="2" t="s">
        <v>16</v>
      </c>
      <c r="D234" s="2" t="s">
        <v>9</v>
      </c>
      <c r="E234" s="2" t="s">
        <v>13</v>
      </c>
      <c r="F234" s="3">
        <v>6</v>
      </c>
      <c r="G234" s="3">
        <v>2100</v>
      </c>
      <c r="H234" s="5">
        <f t="shared" si="3"/>
        <v>12600</v>
      </c>
    </row>
    <row r="235" spans="1:8" x14ac:dyDescent="0.25">
      <c r="A235" s="4">
        <v>234</v>
      </c>
      <c r="B235" s="1">
        <v>44430</v>
      </c>
      <c r="C235" s="2" t="s">
        <v>18</v>
      </c>
      <c r="D235" s="2" t="s">
        <v>9</v>
      </c>
      <c r="E235" s="2" t="s">
        <v>13</v>
      </c>
      <c r="F235" s="3">
        <v>7</v>
      </c>
      <c r="G235" s="3">
        <v>2100</v>
      </c>
      <c r="H235" s="5">
        <f t="shared" si="3"/>
        <v>14700</v>
      </c>
    </row>
    <row r="236" spans="1:8" x14ac:dyDescent="0.25">
      <c r="A236" s="4">
        <v>235</v>
      </c>
      <c r="B236" s="1">
        <v>44431</v>
      </c>
      <c r="C236" s="2" t="s">
        <v>20</v>
      </c>
      <c r="D236" s="2" t="s">
        <v>9</v>
      </c>
      <c r="E236" s="2" t="s">
        <v>17</v>
      </c>
      <c r="F236" s="3">
        <v>4</v>
      </c>
      <c r="G236" s="3">
        <v>1500</v>
      </c>
      <c r="H236" s="5">
        <f t="shared" si="3"/>
        <v>6000</v>
      </c>
    </row>
    <row r="237" spans="1:8" x14ac:dyDescent="0.25">
      <c r="A237" s="4">
        <v>236</v>
      </c>
      <c r="B237" s="1">
        <v>44432</v>
      </c>
      <c r="C237" s="2" t="s">
        <v>8</v>
      </c>
      <c r="D237" s="2" t="s">
        <v>9</v>
      </c>
      <c r="E237" s="2" t="s">
        <v>19</v>
      </c>
      <c r="F237" s="3">
        <v>3</v>
      </c>
      <c r="G237" s="3">
        <v>300</v>
      </c>
      <c r="H237" s="5">
        <f t="shared" si="3"/>
        <v>900</v>
      </c>
    </row>
    <row r="238" spans="1:8" x14ac:dyDescent="0.25">
      <c r="A238" s="4">
        <v>237</v>
      </c>
      <c r="B238" s="1">
        <v>44433</v>
      </c>
      <c r="C238" s="2" t="s">
        <v>11</v>
      </c>
      <c r="D238" s="2" t="s">
        <v>12</v>
      </c>
      <c r="E238" s="2" t="s">
        <v>21</v>
      </c>
      <c r="F238" s="3">
        <v>2</v>
      </c>
      <c r="G238" s="3">
        <v>190</v>
      </c>
      <c r="H238" s="5">
        <f t="shared" si="3"/>
        <v>380</v>
      </c>
    </row>
    <row r="239" spans="1:8" x14ac:dyDescent="0.25">
      <c r="A239" s="4">
        <v>238</v>
      </c>
      <c r="B239" s="1">
        <v>44434</v>
      </c>
      <c r="C239" s="2" t="s">
        <v>14</v>
      </c>
      <c r="D239" s="2" t="s">
        <v>9</v>
      </c>
      <c r="E239" s="2" t="s">
        <v>10</v>
      </c>
      <c r="F239" s="3">
        <v>2</v>
      </c>
      <c r="G239" s="3">
        <v>210</v>
      </c>
      <c r="H239" s="5">
        <f t="shared" si="3"/>
        <v>420</v>
      </c>
    </row>
    <row r="240" spans="1:8" x14ac:dyDescent="0.25">
      <c r="A240" s="4">
        <v>239</v>
      </c>
      <c r="B240" s="1">
        <v>44435</v>
      </c>
      <c r="C240" s="2" t="s">
        <v>16</v>
      </c>
      <c r="D240" s="2" t="s">
        <v>12</v>
      </c>
      <c r="E240" s="2" t="s">
        <v>13</v>
      </c>
      <c r="F240" s="3">
        <v>7</v>
      </c>
      <c r="G240" s="3">
        <v>2100</v>
      </c>
      <c r="H240" s="5">
        <f t="shared" si="3"/>
        <v>14700</v>
      </c>
    </row>
    <row r="241" spans="1:8" x14ac:dyDescent="0.25">
      <c r="A241" s="4">
        <v>240</v>
      </c>
      <c r="B241" s="1">
        <v>44436</v>
      </c>
      <c r="C241" s="2" t="s">
        <v>18</v>
      </c>
      <c r="D241" s="2" t="s">
        <v>9</v>
      </c>
      <c r="E241" s="2" t="s">
        <v>15</v>
      </c>
      <c r="F241" s="3">
        <v>6</v>
      </c>
      <c r="G241" s="3">
        <v>1200</v>
      </c>
      <c r="H241" s="5">
        <f t="shared" si="3"/>
        <v>7200</v>
      </c>
    </row>
    <row r="242" spans="1:8" x14ac:dyDescent="0.25">
      <c r="A242" s="4">
        <v>241</v>
      </c>
      <c r="B242" s="1">
        <v>44437</v>
      </c>
      <c r="C242" s="2" t="s">
        <v>20</v>
      </c>
      <c r="D242" s="2" t="s">
        <v>9</v>
      </c>
      <c r="E242" s="2" t="s">
        <v>17</v>
      </c>
      <c r="F242" s="3">
        <v>5</v>
      </c>
      <c r="G242" s="3">
        <v>1500</v>
      </c>
      <c r="H242" s="5">
        <f t="shared" si="3"/>
        <v>7500</v>
      </c>
    </row>
    <row r="243" spans="1:8" x14ac:dyDescent="0.25">
      <c r="A243" s="4">
        <v>242</v>
      </c>
      <c r="B243" s="1">
        <v>44438</v>
      </c>
      <c r="C243" s="2" t="s">
        <v>20</v>
      </c>
      <c r="D243" s="2" t="s">
        <v>9</v>
      </c>
      <c r="E243" s="2" t="s">
        <v>19</v>
      </c>
      <c r="F243" s="3">
        <v>4</v>
      </c>
      <c r="G243" s="3">
        <v>300</v>
      </c>
      <c r="H243" s="5">
        <f t="shared" si="3"/>
        <v>1200</v>
      </c>
    </row>
    <row r="244" spans="1:8" x14ac:dyDescent="0.25">
      <c r="A244" s="4">
        <v>243</v>
      </c>
      <c r="B244" s="1">
        <v>44439</v>
      </c>
      <c r="C244" s="2" t="s">
        <v>8</v>
      </c>
      <c r="D244" s="2" t="s">
        <v>9</v>
      </c>
      <c r="E244" s="2" t="s">
        <v>19</v>
      </c>
      <c r="F244" s="3">
        <v>3</v>
      </c>
      <c r="G244" s="3">
        <v>300</v>
      </c>
      <c r="H244" s="5">
        <f t="shared" si="3"/>
        <v>900</v>
      </c>
    </row>
    <row r="245" spans="1:8" x14ac:dyDescent="0.25">
      <c r="A245" s="4">
        <v>244</v>
      </c>
      <c r="B245" s="1">
        <v>44440</v>
      </c>
      <c r="C245" s="2" t="s">
        <v>8</v>
      </c>
      <c r="D245" s="2" t="s">
        <v>12</v>
      </c>
      <c r="E245" s="2" t="s">
        <v>21</v>
      </c>
      <c r="F245" s="3">
        <v>2</v>
      </c>
      <c r="G245" s="3">
        <v>190</v>
      </c>
      <c r="H245" s="5">
        <f t="shared" si="3"/>
        <v>380</v>
      </c>
    </row>
    <row r="246" spans="1:8" x14ac:dyDescent="0.25">
      <c r="A246" s="4">
        <v>245</v>
      </c>
      <c r="B246" s="1">
        <v>44441</v>
      </c>
      <c r="C246" s="2" t="s">
        <v>8</v>
      </c>
      <c r="D246" s="2" t="s">
        <v>22</v>
      </c>
      <c r="E246" s="2" t="s">
        <v>10</v>
      </c>
      <c r="F246" s="3">
        <v>2</v>
      </c>
      <c r="G246" s="3">
        <v>210</v>
      </c>
      <c r="H246" s="5">
        <f t="shared" si="3"/>
        <v>420</v>
      </c>
    </row>
    <row r="247" spans="1:8" x14ac:dyDescent="0.25">
      <c r="A247" s="4">
        <v>246</v>
      </c>
      <c r="B247" s="1">
        <v>44442</v>
      </c>
      <c r="C247" s="2" t="s">
        <v>8</v>
      </c>
      <c r="D247" s="2" t="s">
        <v>23</v>
      </c>
      <c r="E247" s="2" t="s">
        <v>13</v>
      </c>
      <c r="F247" s="3">
        <v>7</v>
      </c>
      <c r="G247" s="3">
        <v>2100</v>
      </c>
      <c r="H247" s="5">
        <f t="shared" si="3"/>
        <v>14700</v>
      </c>
    </row>
    <row r="248" spans="1:8" x14ac:dyDescent="0.25">
      <c r="A248" s="4">
        <v>247</v>
      </c>
      <c r="B248" s="1">
        <v>44443</v>
      </c>
      <c r="C248" s="2" t="s">
        <v>8</v>
      </c>
      <c r="D248" s="2" t="s">
        <v>9</v>
      </c>
      <c r="E248" s="2" t="s">
        <v>15</v>
      </c>
      <c r="F248" s="3">
        <v>6</v>
      </c>
      <c r="G248" s="3">
        <v>1200</v>
      </c>
      <c r="H248" s="5">
        <f t="shared" si="3"/>
        <v>7200</v>
      </c>
    </row>
    <row r="249" spans="1:8" x14ac:dyDescent="0.25">
      <c r="A249" s="4">
        <v>248</v>
      </c>
      <c r="B249" s="1">
        <v>44444</v>
      </c>
      <c r="C249" s="2" t="s">
        <v>8</v>
      </c>
      <c r="D249" s="2" t="s">
        <v>12</v>
      </c>
      <c r="E249" s="2" t="s">
        <v>17</v>
      </c>
      <c r="F249" s="3">
        <v>5</v>
      </c>
      <c r="G249" s="3">
        <v>1500</v>
      </c>
      <c r="H249" s="5">
        <f t="shared" si="3"/>
        <v>7500</v>
      </c>
    </row>
    <row r="250" spans="1:8" x14ac:dyDescent="0.25">
      <c r="A250" s="4">
        <v>249</v>
      </c>
      <c r="B250" s="1">
        <v>44445</v>
      </c>
      <c r="C250" s="2" t="s">
        <v>8</v>
      </c>
      <c r="D250" s="2" t="s">
        <v>22</v>
      </c>
      <c r="E250" s="2" t="s">
        <v>19</v>
      </c>
      <c r="F250" s="3">
        <v>4</v>
      </c>
      <c r="G250" s="3">
        <v>300</v>
      </c>
      <c r="H250" s="5">
        <f t="shared" si="3"/>
        <v>1200</v>
      </c>
    </row>
    <row r="251" spans="1:8" x14ac:dyDescent="0.25">
      <c r="A251" s="4">
        <v>250</v>
      </c>
      <c r="B251" s="1">
        <v>44446</v>
      </c>
      <c r="C251" s="2" t="s">
        <v>8</v>
      </c>
      <c r="D251" s="2" t="s">
        <v>23</v>
      </c>
      <c r="E251" s="2" t="s">
        <v>19</v>
      </c>
      <c r="F251" s="3">
        <v>3</v>
      </c>
      <c r="G251" s="3">
        <v>300</v>
      </c>
      <c r="H251" s="5">
        <f t="shared" si="3"/>
        <v>900</v>
      </c>
    </row>
    <row r="252" spans="1:8" x14ac:dyDescent="0.25">
      <c r="A252" s="4">
        <v>251</v>
      </c>
      <c r="B252" s="1">
        <v>44447</v>
      </c>
      <c r="C252" s="2" t="s">
        <v>11</v>
      </c>
      <c r="D252" s="2" t="s">
        <v>12</v>
      </c>
      <c r="E252" s="2" t="s">
        <v>21</v>
      </c>
      <c r="F252" s="3">
        <v>2</v>
      </c>
      <c r="G252" s="3">
        <v>190</v>
      </c>
      <c r="H252" s="5">
        <f t="shared" si="3"/>
        <v>380</v>
      </c>
    </row>
    <row r="253" spans="1:8" x14ac:dyDescent="0.25">
      <c r="A253" s="4">
        <v>252</v>
      </c>
      <c r="B253" s="1">
        <v>44448</v>
      </c>
      <c r="C253" s="2" t="s">
        <v>11</v>
      </c>
      <c r="D253" s="2" t="s">
        <v>9</v>
      </c>
      <c r="E253" s="2" t="s">
        <v>10</v>
      </c>
      <c r="F253" s="3">
        <v>2</v>
      </c>
      <c r="G253" s="3">
        <v>210</v>
      </c>
      <c r="H253" s="5">
        <f t="shared" si="3"/>
        <v>420</v>
      </c>
    </row>
    <row r="254" spans="1:8" x14ac:dyDescent="0.25">
      <c r="A254" s="4">
        <v>253</v>
      </c>
      <c r="B254" s="1">
        <v>44449</v>
      </c>
      <c r="C254" s="2" t="s">
        <v>11</v>
      </c>
      <c r="D254" s="2" t="s">
        <v>22</v>
      </c>
      <c r="E254" s="2" t="s">
        <v>13</v>
      </c>
      <c r="F254" s="3">
        <v>7</v>
      </c>
      <c r="G254" s="3">
        <v>2100</v>
      </c>
      <c r="H254" s="5">
        <f t="shared" si="3"/>
        <v>14700</v>
      </c>
    </row>
    <row r="255" spans="1:8" x14ac:dyDescent="0.25">
      <c r="A255" s="4">
        <v>254</v>
      </c>
      <c r="B255" s="1">
        <v>44450</v>
      </c>
      <c r="C255" s="2" t="s">
        <v>11</v>
      </c>
      <c r="D255" s="2" t="s">
        <v>23</v>
      </c>
      <c r="E255" s="2" t="s">
        <v>15</v>
      </c>
      <c r="F255" s="3">
        <v>6</v>
      </c>
      <c r="G255" s="3">
        <v>1200</v>
      </c>
      <c r="H255" s="5">
        <f t="shared" si="3"/>
        <v>7200</v>
      </c>
    </row>
    <row r="256" spans="1:8" x14ac:dyDescent="0.25">
      <c r="A256" s="4">
        <v>255</v>
      </c>
      <c r="B256" s="1">
        <v>44451</v>
      </c>
      <c r="C256" s="2" t="s">
        <v>11</v>
      </c>
      <c r="D256" s="2" t="s">
        <v>12</v>
      </c>
      <c r="E256" s="2" t="s">
        <v>17</v>
      </c>
      <c r="F256" s="3">
        <v>5</v>
      </c>
      <c r="G256" s="3">
        <v>1500</v>
      </c>
      <c r="H256" s="5">
        <f t="shared" si="3"/>
        <v>7500</v>
      </c>
    </row>
    <row r="257" spans="1:8" x14ac:dyDescent="0.25">
      <c r="A257" s="4">
        <v>256</v>
      </c>
      <c r="B257" s="1">
        <v>44452</v>
      </c>
      <c r="C257" s="2" t="s">
        <v>11</v>
      </c>
      <c r="D257" s="2" t="s">
        <v>9</v>
      </c>
      <c r="E257" s="2" t="s">
        <v>19</v>
      </c>
      <c r="F257" s="3">
        <v>4</v>
      </c>
      <c r="G257" s="3">
        <v>300</v>
      </c>
      <c r="H257" s="5">
        <f t="shared" si="3"/>
        <v>1200</v>
      </c>
    </row>
    <row r="258" spans="1:8" x14ac:dyDescent="0.25">
      <c r="A258" s="4">
        <v>257</v>
      </c>
      <c r="B258" s="1">
        <v>44453</v>
      </c>
      <c r="C258" s="2" t="s">
        <v>11</v>
      </c>
      <c r="D258" s="2" t="s">
        <v>22</v>
      </c>
      <c r="E258" s="2" t="s">
        <v>10</v>
      </c>
      <c r="F258" s="3">
        <v>7</v>
      </c>
      <c r="G258" s="3">
        <v>210</v>
      </c>
      <c r="H258" s="5">
        <f t="shared" si="3"/>
        <v>1470</v>
      </c>
    </row>
    <row r="259" spans="1:8" x14ac:dyDescent="0.25">
      <c r="A259" s="4">
        <v>258</v>
      </c>
      <c r="B259" s="1">
        <v>44454</v>
      </c>
      <c r="C259" s="2" t="s">
        <v>11</v>
      </c>
      <c r="D259" s="2" t="s">
        <v>23</v>
      </c>
      <c r="E259" s="2" t="s">
        <v>13</v>
      </c>
      <c r="F259" s="3">
        <v>6</v>
      </c>
      <c r="G259" s="3">
        <v>2100</v>
      </c>
      <c r="H259" s="5">
        <f t="shared" ref="H259:H322" si="4">F259*G259</f>
        <v>12600</v>
      </c>
    </row>
    <row r="260" spans="1:8" x14ac:dyDescent="0.25">
      <c r="A260" s="4">
        <v>259</v>
      </c>
      <c r="B260" s="1">
        <v>44455</v>
      </c>
      <c r="C260" s="2" t="s">
        <v>14</v>
      </c>
      <c r="D260" s="2" t="s">
        <v>23</v>
      </c>
      <c r="E260" s="2" t="s">
        <v>15</v>
      </c>
      <c r="F260" s="3">
        <v>5</v>
      </c>
      <c r="G260" s="3">
        <v>1200</v>
      </c>
      <c r="H260" s="5">
        <f t="shared" si="4"/>
        <v>6000</v>
      </c>
    </row>
    <row r="261" spans="1:8" x14ac:dyDescent="0.25">
      <c r="A261" s="4">
        <v>260</v>
      </c>
      <c r="B261" s="1">
        <v>44456</v>
      </c>
      <c r="C261" s="2" t="s">
        <v>16</v>
      </c>
      <c r="D261" s="2" t="s">
        <v>23</v>
      </c>
      <c r="E261" s="2" t="s">
        <v>17</v>
      </c>
      <c r="F261" s="3">
        <v>4</v>
      </c>
      <c r="G261" s="3">
        <v>1500</v>
      </c>
      <c r="H261" s="5">
        <f t="shared" si="4"/>
        <v>6000</v>
      </c>
    </row>
    <row r="262" spans="1:8" x14ac:dyDescent="0.25">
      <c r="A262" s="4">
        <v>261</v>
      </c>
      <c r="B262" s="1">
        <v>44457</v>
      </c>
      <c r="C262" s="2" t="s">
        <v>18</v>
      </c>
      <c r="D262" s="2" t="s">
        <v>23</v>
      </c>
      <c r="E262" s="2" t="s">
        <v>19</v>
      </c>
      <c r="F262" s="3">
        <v>3</v>
      </c>
      <c r="G262" s="3">
        <v>300</v>
      </c>
      <c r="H262" s="5">
        <f t="shared" si="4"/>
        <v>900</v>
      </c>
    </row>
    <row r="263" spans="1:8" x14ac:dyDescent="0.25">
      <c r="A263" s="4">
        <v>262</v>
      </c>
      <c r="B263" s="1">
        <v>44458</v>
      </c>
      <c r="C263" s="2" t="s">
        <v>20</v>
      </c>
      <c r="D263" s="2" t="s">
        <v>23</v>
      </c>
      <c r="E263" s="2" t="s">
        <v>21</v>
      </c>
      <c r="F263" s="3">
        <v>2</v>
      </c>
      <c r="G263" s="3">
        <v>190</v>
      </c>
      <c r="H263" s="5">
        <f t="shared" si="4"/>
        <v>380</v>
      </c>
    </row>
    <row r="264" spans="1:8" x14ac:dyDescent="0.25">
      <c r="A264" s="4">
        <v>263</v>
      </c>
      <c r="B264" s="1">
        <v>44459</v>
      </c>
      <c r="C264" s="2" t="s">
        <v>20</v>
      </c>
      <c r="D264" s="2" t="s">
        <v>9</v>
      </c>
      <c r="E264" s="2" t="s">
        <v>10</v>
      </c>
      <c r="F264" s="3">
        <v>2</v>
      </c>
      <c r="G264" s="3">
        <v>210</v>
      </c>
      <c r="H264" s="5">
        <f t="shared" si="4"/>
        <v>420</v>
      </c>
    </row>
    <row r="265" spans="1:8" x14ac:dyDescent="0.25">
      <c r="A265" s="4">
        <v>264</v>
      </c>
      <c r="B265" s="1">
        <v>44460</v>
      </c>
      <c r="C265" s="2" t="s">
        <v>20</v>
      </c>
      <c r="D265" s="2" t="s">
        <v>12</v>
      </c>
      <c r="E265" s="2" t="s">
        <v>13</v>
      </c>
      <c r="F265" s="3">
        <v>7</v>
      </c>
      <c r="G265" s="3">
        <v>2100</v>
      </c>
      <c r="H265" s="5">
        <f t="shared" si="4"/>
        <v>14700</v>
      </c>
    </row>
    <row r="266" spans="1:8" x14ac:dyDescent="0.25">
      <c r="A266" s="4">
        <v>265</v>
      </c>
      <c r="B266" s="1">
        <v>44461</v>
      </c>
      <c r="C266" s="2" t="s">
        <v>20</v>
      </c>
      <c r="D266" s="2" t="s">
        <v>22</v>
      </c>
      <c r="E266" s="2" t="s">
        <v>15</v>
      </c>
      <c r="F266" s="3">
        <v>6</v>
      </c>
      <c r="G266" s="3">
        <v>1200</v>
      </c>
      <c r="H266" s="5">
        <f t="shared" si="4"/>
        <v>7200</v>
      </c>
    </row>
    <row r="267" spans="1:8" x14ac:dyDescent="0.25">
      <c r="A267" s="4">
        <v>266</v>
      </c>
      <c r="B267" s="1">
        <v>44462</v>
      </c>
      <c r="C267" s="2" t="s">
        <v>20</v>
      </c>
      <c r="D267" s="2" t="s">
        <v>23</v>
      </c>
      <c r="E267" s="2" t="s">
        <v>17</v>
      </c>
      <c r="F267" s="3">
        <v>5</v>
      </c>
      <c r="G267" s="3">
        <v>1500</v>
      </c>
      <c r="H267" s="5">
        <f t="shared" si="4"/>
        <v>7500</v>
      </c>
    </row>
    <row r="268" spans="1:8" x14ac:dyDescent="0.25">
      <c r="A268" s="4">
        <v>267</v>
      </c>
      <c r="B268" s="1">
        <v>44463</v>
      </c>
      <c r="C268" s="2" t="s">
        <v>20</v>
      </c>
      <c r="D268" s="2" t="s">
        <v>9</v>
      </c>
      <c r="E268" s="2" t="s">
        <v>13</v>
      </c>
      <c r="F268" s="3">
        <v>7</v>
      </c>
      <c r="G268" s="3">
        <v>2100</v>
      </c>
      <c r="H268" s="5">
        <f t="shared" si="4"/>
        <v>14700</v>
      </c>
    </row>
    <row r="269" spans="1:8" x14ac:dyDescent="0.25">
      <c r="A269" s="4">
        <v>268</v>
      </c>
      <c r="B269" s="1">
        <v>44464</v>
      </c>
      <c r="C269" s="2" t="s">
        <v>20</v>
      </c>
      <c r="D269" s="2" t="s">
        <v>12</v>
      </c>
      <c r="E269" s="2" t="s">
        <v>13</v>
      </c>
      <c r="F269" s="3">
        <v>7</v>
      </c>
      <c r="G269" s="3">
        <v>2100</v>
      </c>
      <c r="H269" s="5">
        <f t="shared" si="4"/>
        <v>14700</v>
      </c>
    </row>
    <row r="270" spans="1:8" x14ac:dyDescent="0.25">
      <c r="A270" s="4">
        <v>269</v>
      </c>
      <c r="B270" s="1">
        <v>44465</v>
      </c>
      <c r="C270" s="2" t="s">
        <v>20</v>
      </c>
      <c r="D270" s="2" t="s">
        <v>22</v>
      </c>
      <c r="E270" s="2" t="s">
        <v>13</v>
      </c>
      <c r="F270" s="3">
        <v>7</v>
      </c>
      <c r="G270" s="3">
        <v>2100</v>
      </c>
      <c r="H270" s="5">
        <f t="shared" si="4"/>
        <v>14700</v>
      </c>
    </row>
    <row r="271" spans="1:8" x14ac:dyDescent="0.25">
      <c r="A271" s="4">
        <v>270</v>
      </c>
      <c r="B271" s="1">
        <v>44466</v>
      </c>
      <c r="C271" s="2" t="s">
        <v>20</v>
      </c>
      <c r="D271" s="2" t="s">
        <v>23</v>
      </c>
      <c r="E271" s="2" t="s">
        <v>13</v>
      </c>
      <c r="F271" s="3">
        <v>7</v>
      </c>
      <c r="G271" s="3">
        <v>2100</v>
      </c>
      <c r="H271" s="5">
        <f t="shared" si="4"/>
        <v>14700</v>
      </c>
    </row>
    <row r="272" spans="1:8" x14ac:dyDescent="0.25">
      <c r="A272" s="4">
        <v>271</v>
      </c>
      <c r="B272" s="1">
        <v>44467</v>
      </c>
      <c r="C272" s="2" t="s">
        <v>8</v>
      </c>
      <c r="D272" s="2" t="s">
        <v>9</v>
      </c>
      <c r="E272" s="2" t="s">
        <v>13</v>
      </c>
      <c r="F272" s="3">
        <v>7</v>
      </c>
      <c r="G272" s="3">
        <v>2100</v>
      </c>
      <c r="H272" s="5">
        <f t="shared" si="4"/>
        <v>14700</v>
      </c>
    </row>
    <row r="273" spans="1:8" x14ac:dyDescent="0.25">
      <c r="A273" s="4">
        <v>272</v>
      </c>
      <c r="B273" s="1">
        <v>44468</v>
      </c>
      <c r="C273" s="2" t="s">
        <v>11</v>
      </c>
      <c r="D273" s="2" t="s">
        <v>12</v>
      </c>
      <c r="E273" s="2" t="s">
        <v>13</v>
      </c>
      <c r="F273" s="3">
        <v>7</v>
      </c>
      <c r="G273" s="3">
        <v>2100</v>
      </c>
      <c r="H273" s="5">
        <f t="shared" si="4"/>
        <v>14700</v>
      </c>
    </row>
    <row r="274" spans="1:8" x14ac:dyDescent="0.25">
      <c r="A274" s="4">
        <v>273</v>
      </c>
      <c r="B274" s="1">
        <v>44469</v>
      </c>
      <c r="C274" s="2" t="s">
        <v>14</v>
      </c>
      <c r="D274" s="2" t="s">
        <v>9</v>
      </c>
      <c r="E274" s="2" t="s">
        <v>13</v>
      </c>
      <c r="F274" s="3">
        <v>7</v>
      </c>
      <c r="G274" s="3">
        <v>2100</v>
      </c>
      <c r="H274" s="5">
        <f t="shared" si="4"/>
        <v>14700</v>
      </c>
    </row>
    <row r="275" spans="1:8" x14ac:dyDescent="0.25">
      <c r="A275" s="4">
        <v>274</v>
      </c>
      <c r="B275" s="1">
        <v>44470</v>
      </c>
      <c r="C275" s="2" t="s">
        <v>16</v>
      </c>
      <c r="D275" s="2" t="s">
        <v>12</v>
      </c>
      <c r="E275" s="2" t="s">
        <v>13</v>
      </c>
      <c r="F275" s="3">
        <v>7</v>
      </c>
      <c r="G275" s="3">
        <v>2100</v>
      </c>
      <c r="H275" s="5">
        <f t="shared" si="4"/>
        <v>14700</v>
      </c>
    </row>
    <row r="276" spans="1:8" x14ac:dyDescent="0.25">
      <c r="A276" s="4">
        <v>275</v>
      </c>
      <c r="B276" s="1">
        <v>44471</v>
      </c>
      <c r="C276" s="2" t="s">
        <v>18</v>
      </c>
      <c r="D276" s="2" t="s">
        <v>9</v>
      </c>
      <c r="E276" s="2" t="s">
        <v>13</v>
      </c>
      <c r="F276" s="3">
        <v>7</v>
      </c>
      <c r="G276" s="3">
        <v>2100</v>
      </c>
      <c r="H276" s="5">
        <f t="shared" si="4"/>
        <v>14700</v>
      </c>
    </row>
    <row r="277" spans="1:8" x14ac:dyDescent="0.25">
      <c r="A277" s="4">
        <v>276</v>
      </c>
      <c r="B277" s="1">
        <v>44472</v>
      </c>
      <c r="C277" s="2" t="s">
        <v>20</v>
      </c>
      <c r="D277" s="2" t="s">
        <v>9</v>
      </c>
      <c r="E277" s="2" t="s">
        <v>13</v>
      </c>
      <c r="F277" s="3">
        <v>7</v>
      </c>
      <c r="G277" s="3">
        <v>2100</v>
      </c>
      <c r="H277" s="5">
        <f t="shared" si="4"/>
        <v>14700</v>
      </c>
    </row>
    <row r="278" spans="1:8" x14ac:dyDescent="0.25">
      <c r="A278" s="4">
        <v>277</v>
      </c>
      <c r="B278" s="1">
        <v>44473</v>
      </c>
      <c r="C278" s="2" t="s">
        <v>8</v>
      </c>
      <c r="D278" s="2" t="s">
        <v>9</v>
      </c>
      <c r="E278" s="2" t="s">
        <v>13</v>
      </c>
      <c r="F278" s="3">
        <v>7</v>
      </c>
      <c r="G278" s="3">
        <v>2100</v>
      </c>
      <c r="H278" s="5">
        <f t="shared" si="4"/>
        <v>14700</v>
      </c>
    </row>
    <row r="279" spans="1:8" x14ac:dyDescent="0.25">
      <c r="A279" s="4">
        <v>278</v>
      </c>
      <c r="B279" s="1">
        <v>44474</v>
      </c>
      <c r="C279" s="2" t="s">
        <v>11</v>
      </c>
      <c r="D279" s="2" t="s">
        <v>12</v>
      </c>
      <c r="E279" s="2" t="s">
        <v>15</v>
      </c>
      <c r="F279" s="3">
        <v>5</v>
      </c>
      <c r="G279" s="3">
        <v>1200</v>
      </c>
      <c r="H279" s="5">
        <f t="shared" si="4"/>
        <v>6000</v>
      </c>
    </row>
    <row r="280" spans="1:8" x14ac:dyDescent="0.25">
      <c r="A280" s="4">
        <v>279</v>
      </c>
      <c r="B280" s="1">
        <v>44475</v>
      </c>
      <c r="C280" s="2" t="s">
        <v>14</v>
      </c>
      <c r="D280" s="2" t="s">
        <v>12</v>
      </c>
      <c r="E280" s="2" t="s">
        <v>17</v>
      </c>
      <c r="F280" s="3">
        <v>4</v>
      </c>
      <c r="G280" s="3">
        <v>1500</v>
      </c>
      <c r="H280" s="5">
        <f t="shared" si="4"/>
        <v>6000</v>
      </c>
    </row>
    <row r="281" spans="1:8" x14ac:dyDescent="0.25">
      <c r="A281" s="4">
        <v>280</v>
      </c>
      <c r="B281" s="1">
        <v>44476</v>
      </c>
      <c r="C281" s="2" t="s">
        <v>16</v>
      </c>
      <c r="D281" s="2" t="s">
        <v>9</v>
      </c>
      <c r="E281" s="2" t="s">
        <v>19</v>
      </c>
      <c r="F281" s="3">
        <v>3</v>
      </c>
      <c r="G281" s="3">
        <v>300</v>
      </c>
      <c r="H281" s="5">
        <f t="shared" si="4"/>
        <v>900</v>
      </c>
    </row>
    <row r="282" spans="1:8" x14ac:dyDescent="0.25">
      <c r="A282" s="4">
        <v>281</v>
      </c>
      <c r="B282" s="1">
        <v>44477</v>
      </c>
      <c r="C282" s="2" t="s">
        <v>18</v>
      </c>
      <c r="D282" s="2" t="s">
        <v>9</v>
      </c>
      <c r="E282" s="2" t="s">
        <v>21</v>
      </c>
      <c r="F282" s="3">
        <v>2</v>
      </c>
      <c r="G282" s="3">
        <v>190</v>
      </c>
      <c r="H282" s="5">
        <f t="shared" si="4"/>
        <v>380</v>
      </c>
    </row>
    <row r="283" spans="1:8" x14ac:dyDescent="0.25">
      <c r="A283" s="4">
        <v>282</v>
      </c>
      <c r="B283" s="1">
        <v>44478</v>
      </c>
      <c r="C283" s="2" t="s">
        <v>20</v>
      </c>
      <c r="D283" s="2" t="s">
        <v>12</v>
      </c>
      <c r="E283" s="2" t="s">
        <v>10</v>
      </c>
      <c r="F283" s="3">
        <v>7</v>
      </c>
      <c r="G283" s="3">
        <v>210</v>
      </c>
      <c r="H283" s="5">
        <f t="shared" si="4"/>
        <v>1470</v>
      </c>
    </row>
    <row r="284" spans="1:8" x14ac:dyDescent="0.25">
      <c r="A284" s="4">
        <v>283</v>
      </c>
      <c r="B284" s="1">
        <v>44479</v>
      </c>
      <c r="C284" s="2" t="s">
        <v>20</v>
      </c>
      <c r="D284" s="2" t="s">
        <v>9</v>
      </c>
      <c r="E284" s="2" t="s">
        <v>13</v>
      </c>
      <c r="F284" s="3">
        <v>6</v>
      </c>
      <c r="G284" s="3">
        <v>2100</v>
      </c>
      <c r="H284" s="5">
        <f t="shared" si="4"/>
        <v>12600</v>
      </c>
    </row>
    <row r="285" spans="1:8" x14ac:dyDescent="0.25">
      <c r="A285" s="4">
        <v>284</v>
      </c>
      <c r="B285" s="1">
        <v>44480</v>
      </c>
      <c r="C285" s="2" t="s">
        <v>8</v>
      </c>
      <c r="D285" s="2" t="s">
        <v>9</v>
      </c>
      <c r="E285" s="2" t="s">
        <v>15</v>
      </c>
      <c r="F285" s="3">
        <v>5</v>
      </c>
      <c r="G285" s="3">
        <v>1200</v>
      </c>
      <c r="H285" s="5">
        <f t="shared" si="4"/>
        <v>6000</v>
      </c>
    </row>
    <row r="286" spans="1:8" x14ac:dyDescent="0.25">
      <c r="A286" s="4">
        <v>285</v>
      </c>
      <c r="B286" s="1">
        <v>44481</v>
      </c>
      <c r="C286" s="2" t="s">
        <v>11</v>
      </c>
      <c r="D286" s="2" t="s">
        <v>9</v>
      </c>
      <c r="E286" s="2" t="s">
        <v>17</v>
      </c>
      <c r="F286" s="3">
        <v>4</v>
      </c>
      <c r="G286" s="3">
        <v>1500</v>
      </c>
      <c r="H286" s="5">
        <f t="shared" si="4"/>
        <v>6000</v>
      </c>
    </row>
    <row r="287" spans="1:8" x14ac:dyDescent="0.25">
      <c r="A287" s="4">
        <v>286</v>
      </c>
      <c r="B287" s="1">
        <v>44482</v>
      </c>
      <c r="C287" s="2" t="s">
        <v>14</v>
      </c>
      <c r="D287" s="2" t="s">
        <v>9</v>
      </c>
      <c r="E287" s="2" t="s">
        <v>19</v>
      </c>
      <c r="F287" s="3">
        <v>3</v>
      </c>
      <c r="G287" s="3">
        <v>300</v>
      </c>
      <c r="H287" s="5">
        <f t="shared" si="4"/>
        <v>900</v>
      </c>
    </row>
    <row r="288" spans="1:8" x14ac:dyDescent="0.25">
      <c r="A288" s="4">
        <v>287</v>
      </c>
      <c r="B288" s="1">
        <v>44483</v>
      </c>
      <c r="C288" s="2" t="s">
        <v>16</v>
      </c>
      <c r="D288" s="2" t="s">
        <v>9</v>
      </c>
      <c r="E288" s="2" t="s">
        <v>21</v>
      </c>
      <c r="F288" s="3">
        <v>2</v>
      </c>
      <c r="G288" s="3">
        <v>190</v>
      </c>
      <c r="H288" s="5">
        <f t="shared" si="4"/>
        <v>380</v>
      </c>
    </row>
    <row r="289" spans="1:8" x14ac:dyDescent="0.25">
      <c r="A289" s="4">
        <v>288</v>
      </c>
      <c r="B289" s="1">
        <v>44484</v>
      </c>
      <c r="C289" s="2" t="s">
        <v>18</v>
      </c>
      <c r="D289" s="2" t="s">
        <v>9</v>
      </c>
      <c r="E289" s="2" t="s">
        <v>10</v>
      </c>
      <c r="F289" s="3">
        <v>2</v>
      </c>
      <c r="G289" s="3">
        <v>210</v>
      </c>
      <c r="H289" s="5">
        <f t="shared" si="4"/>
        <v>420</v>
      </c>
    </row>
    <row r="290" spans="1:8" x14ac:dyDescent="0.25">
      <c r="A290" s="4">
        <v>289</v>
      </c>
      <c r="B290" s="1">
        <v>44485</v>
      </c>
      <c r="C290" s="2" t="s">
        <v>20</v>
      </c>
      <c r="D290" s="2" t="s">
        <v>9</v>
      </c>
      <c r="E290" s="2" t="s">
        <v>13</v>
      </c>
      <c r="F290" s="3">
        <v>7</v>
      </c>
      <c r="G290" s="3">
        <v>2100</v>
      </c>
      <c r="H290" s="5">
        <f t="shared" si="4"/>
        <v>14700</v>
      </c>
    </row>
    <row r="291" spans="1:8" x14ac:dyDescent="0.25">
      <c r="A291" s="4">
        <v>290</v>
      </c>
      <c r="B291" s="1">
        <v>44486</v>
      </c>
      <c r="C291" s="2" t="s">
        <v>8</v>
      </c>
      <c r="D291" s="2" t="s">
        <v>9</v>
      </c>
      <c r="E291" s="2" t="s">
        <v>15</v>
      </c>
      <c r="F291" s="3">
        <v>6</v>
      </c>
      <c r="G291" s="3">
        <v>1200</v>
      </c>
      <c r="H291" s="5">
        <f t="shared" si="4"/>
        <v>7200</v>
      </c>
    </row>
    <row r="292" spans="1:8" x14ac:dyDescent="0.25">
      <c r="A292" s="4">
        <v>291</v>
      </c>
      <c r="B292" s="1">
        <v>44487</v>
      </c>
      <c r="C292" s="2" t="s">
        <v>11</v>
      </c>
      <c r="D292" s="2" t="s">
        <v>12</v>
      </c>
      <c r="E292" s="2" t="s">
        <v>17</v>
      </c>
      <c r="F292" s="3">
        <v>5</v>
      </c>
      <c r="G292" s="3">
        <v>1500</v>
      </c>
      <c r="H292" s="5">
        <f t="shared" si="4"/>
        <v>7500</v>
      </c>
    </row>
    <row r="293" spans="1:8" x14ac:dyDescent="0.25">
      <c r="A293" s="4">
        <v>292</v>
      </c>
      <c r="B293" s="1">
        <v>44488</v>
      </c>
      <c r="C293" s="2" t="s">
        <v>14</v>
      </c>
      <c r="D293" s="2" t="s">
        <v>9</v>
      </c>
      <c r="E293" s="2" t="s">
        <v>19</v>
      </c>
      <c r="F293" s="3">
        <v>4</v>
      </c>
      <c r="G293" s="3">
        <v>300</v>
      </c>
      <c r="H293" s="5">
        <f t="shared" si="4"/>
        <v>1200</v>
      </c>
    </row>
    <row r="294" spans="1:8" x14ac:dyDescent="0.25">
      <c r="A294" s="4">
        <v>293</v>
      </c>
      <c r="B294" s="1">
        <v>44489</v>
      </c>
      <c r="C294" s="2" t="s">
        <v>16</v>
      </c>
      <c r="D294" s="2" t="s">
        <v>12</v>
      </c>
      <c r="E294" s="2" t="s">
        <v>17</v>
      </c>
      <c r="F294" s="3">
        <v>5</v>
      </c>
      <c r="G294" s="3">
        <v>1500</v>
      </c>
      <c r="H294" s="5">
        <f t="shared" si="4"/>
        <v>7500</v>
      </c>
    </row>
    <row r="295" spans="1:8" x14ac:dyDescent="0.25">
      <c r="A295" s="4">
        <v>294</v>
      </c>
      <c r="B295" s="1">
        <v>44490</v>
      </c>
      <c r="C295" s="2" t="s">
        <v>18</v>
      </c>
      <c r="D295" s="2" t="s">
        <v>9</v>
      </c>
      <c r="E295" s="2" t="s">
        <v>19</v>
      </c>
      <c r="F295" s="3">
        <v>4</v>
      </c>
      <c r="G295" s="3">
        <v>300</v>
      </c>
      <c r="H295" s="5">
        <f t="shared" si="4"/>
        <v>1200</v>
      </c>
    </row>
    <row r="296" spans="1:8" x14ac:dyDescent="0.25">
      <c r="A296" s="4">
        <v>295</v>
      </c>
      <c r="B296" s="1">
        <v>44491</v>
      </c>
      <c r="C296" s="2" t="s">
        <v>20</v>
      </c>
      <c r="D296" s="2" t="s">
        <v>9</v>
      </c>
      <c r="E296" s="2" t="s">
        <v>17</v>
      </c>
      <c r="F296" s="3">
        <v>5</v>
      </c>
      <c r="G296" s="3">
        <v>1500</v>
      </c>
      <c r="H296" s="5">
        <f t="shared" si="4"/>
        <v>7500</v>
      </c>
    </row>
    <row r="297" spans="1:8" x14ac:dyDescent="0.25">
      <c r="A297" s="4">
        <v>296</v>
      </c>
      <c r="B297" s="1">
        <v>44492</v>
      </c>
      <c r="C297" s="2" t="s">
        <v>20</v>
      </c>
      <c r="D297" s="2" t="s">
        <v>9</v>
      </c>
      <c r="E297" s="2" t="s">
        <v>19</v>
      </c>
      <c r="F297" s="3">
        <v>4</v>
      </c>
      <c r="G297" s="3">
        <v>300</v>
      </c>
      <c r="H297" s="5">
        <f t="shared" si="4"/>
        <v>1200</v>
      </c>
    </row>
    <row r="298" spans="1:8" x14ac:dyDescent="0.25">
      <c r="A298" s="4">
        <v>297</v>
      </c>
      <c r="B298" s="1">
        <v>44493</v>
      </c>
      <c r="C298" s="2" t="s">
        <v>8</v>
      </c>
      <c r="D298" s="2" t="s">
        <v>9</v>
      </c>
      <c r="E298" s="2" t="s">
        <v>17</v>
      </c>
      <c r="F298" s="3">
        <v>5</v>
      </c>
      <c r="G298" s="3">
        <v>1500</v>
      </c>
      <c r="H298" s="5">
        <f t="shared" si="4"/>
        <v>7500</v>
      </c>
    </row>
    <row r="299" spans="1:8" x14ac:dyDescent="0.25">
      <c r="A299" s="4">
        <v>298</v>
      </c>
      <c r="B299" s="1">
        <v>44494</v>
      </c>
      <c r="C299" s="2" t="s">
        <v>8</v>
      </c>
      <c r="D299" s="2" t="s">
        <v>12</v>
      </c>
      <c r="E299" s="2" t="s">
        <v>19</v>
      </c>
      <c r="F299" s="3">
        <v>4</v>
      </c>
      <c r="G299" s="3">
        <v>300</v>
      </c>
      <c r="H299" s="5">
        <f t="shared" si="4"/>
        <v>1200</v>
      </c>
    </row>
    <row r="300" spans="1:8" x14ac:dyDescent="0.25">
      <c r="A300" s="4">
        <v>299</v>
      </c>
      <c r="B300" s="1">
        <v>44495</v>
      </c>
      <c r="C300" s="2" t="s">
        <v>8</v>
      </c>
      <c r="D300" s="2" t="s">
        <v>22</v>
      </c>
      <c r="E300" s="2" t="s">
        <v>17</v>
      </c>
      <c r="F300" s="3">
        <v>5</v>
      </c>
      <c r="G300" s="3">
        <v>1500</v>
      </c>
      <c r="H300" s="5">
        <f t="shared" si="4"/>
        <v>7500</v>
      </c>
    </row>
    <row r="301" spans="1:8" x14ac:dyDescent="0.25">
      <c r="A301" s="4">
        <v>300</v>
      </c>
      <c r="B301" s="1">
        <v>44496</v>
      </c>
      <c r="C301" s="2" t="s">
        <v>8</v>
      </c>
      <c r="D301" s="2" t="s">
        <v>23</v>
      </c>
      <c r="E301" s="2" t="s">
        <v>19</v>
      </c>
      <c r="F301" s="3">
        <v>4</v>
      </c>
      <c r="G301" s="3">
        <v>300</v>
      </c>
      <c r="H301" s="5">
        <f t="shared" si="4"/>
        <v>1200</v>
      </c>
    </row>
    <row r="302" spans="1:8" x14ac:dyDescent="0.25">
      <c r="A302" s="4">
        <v>301</v>
      </c>
      <c r="B302" s="1">
        <v>44497</v>
      </c>
      <c r="C302" s="2" t="s">
        <v>8</v>
      </c>
      <c r="D302" s="2" t="s">
        <v>9</v>
      </c>
      <c r="E302" s="2" t="s">
        <v>17</v>
      </c>
      <c r="F302" s="3">
        <v>5</v>
      </c>
      <c r="G302" s="3">
        <v>1500</v>
      </c>
      <c r="H302" s="5">
        <f t="shared" si="4"/>
        <v>7500</v>
      </c>
    </row>
    <row r="303" spans="1:8" x14ac:dyDescent="0.25">
      <c r="A303" s="4">
        <v>302</v>
      </c>
      <c r="B303" s="1">
        <v>44498</v>
      </c>
      <c r="C303" s="2" t="s">
        <v>8</v>
      </c>
      <c r="D303" s="2" t="s">
        <v>12</v>
      </c>
      <c r="E303" s="2" t="s">
        <v>13</v>
      </c>
      <c r="F303" s="3">
        <v>6</v>
      </c>
      <c r="G303" s="3">
        <v>2100</v>
      </c>
      <c r="H303" s="5">
        <f t="shared" si="4"/>
        <v>12600</v>
      </c>
    </row>
    <row r="304" spans="1:8" x14ac:dyDescent="0.25">
      <c r="A304" s="4">
        <v>303</v>
      </c>
      <c r="B304" s="1">
        <v>44499</v>
      </c>
      <c r="C304" s="2" t="s">
        <v>8</v>
      </c>
      <c r="D304" s="2" t="s">
        <v>22</v>
      </c>
      <c r="E304" s="2" t="s">
        <v>15</v>
      </c>
      <c r="F304" s="3">
        <v>5</v>
      </c>
      <c r="G304" s="3">
        <v>1200</v>
      </c>
      <c r="H304" s="5">
        <f t="shared" si="4"/>
        <v>6000</v>
      </c>
    </row>
    <row r="305" spans="1:8" x14ac:dyDescent="0.25">
      <c r="A305" s="4">
        <v>304</v>
      </c>
      <c r="B305" s="1">
        <v>44500</v>
      </c>
      <c r="C305" s="2" t="s">
        <v>8</v>
      </c>
      <c r="D305" s="2" t="s">
        <v>23</v>
      </c>
      <c r="E305" s="2" t="s">
        <v>17</v>
      </c>
      <c r="F305" s="3">
        <v>4</v>
      </c>
      <c r="G305" s="3">
        <v>1500</v>
      </c>
      <c r="H305" s="5">
        <f t="shared" si="4"/>
        <v>6000</v>
      </c>
    </row>
    <row r="306" spans="1:8" x14ac:dyDescent="0.25">
      <c r="A306" s="4">
        <v>305</v>
      </c>
      <c r="B306" s="1">
        <v>44501</v>
      </c>
      <c r="C306" s="2" t="s">
        <v>11</v>
      </c>
      <c r="D306" s="2" t="s">
        <v>12</v>
      </c>
      <c r="E306" s="2" t="s">
        <v>19</v>
      </c>
      <c r="F306" s="3">
        <v>3</v>
      </c>
      <c r="G306" s="3">
        <v>300</v>
      </c>
      <c r="H306" s="5">
        <f t="shared" si="4"/>
        <v>900</v>
      </c>
    </row>
    <row r="307" spans="1:8" x14ac:dyDescent="0.25">
      <c r="A307" s="4">
        <v>306</v>
      </c>
      <c r="B307" s="1">
        <v>44502</v>
      </c>
      <c r="C307" s="2" t="s">
        <v>11</v>
      </c>
      <c r="D307" s="2" t="s">
        <v>9</v>
      </c>
      <c r="E307" s="2" t="s">
        <v>21</v>
      </c>
      <c r="F307" s="3">
        <v>2</v>
      </c>
      <c r="G307" s="3">
        <v>190</v>
      </c>
      <c r="H307" s="5">
        <f t="shared" si="4"/>
        <v>380</v>
      </c>
    </row>
    <row r="308" spans="1:8" x14ac:dyDescent="0.25">
      <c r="A308" s="4">
        <v>307</v>
      </c>
      <c r="B308" s="1">
        <v>44503</v>
      </c>
      <c r="C308" s="2" t="s">
        <v>11</v>
      </c>
      <c r="D308" s="2" t="s">
        <v>22</v>
      </c>
      <c r="E308" s="2" t="s">
        <v>21</v>
      </c>
      <c r="F308" s="3">
        <v>2</v>
      </c>
      <c r="G308" s="3">
        <v>190</v>
      </c>
      <c r="H308" s="5">
        <f t="shared" si="4"/>
        <v>380</v>
      </c>
    </row>
    <row r="309" spans="1:8" x14ac:dyDescent="0.25">
      <c r="A309" s="4">
        <v>308</v>
      </c>
      <c r="B309" s="1">
        <v>44504</v>
      </c>
      <c r="C309" s="2" t="s">
        <v>11</v>
      </c>
      <c r="D309" s="2" t="s">
        <v>23</v>
      </c>
      <c r="E309" s="2" t="s">
        <v>21</v>
      </c>
      <c r="F309" s="3">
        <v>2</v>
      </c>
      <c r="G309" s="3">
        <v>190</v>
      </c>
      <c r="H309" s="5">
        <f t="shared" si="4"/>
        <v>380</v>
      </c>
    </row>
    <row r="310" spans="1:8" x14ac:dyDescent="0.25">
      <c r="A310" s="4">
        <v>309</v>
      </c>
      <c r="B310" s="1">
        <v>44505</v>
      </c>
      <c r="C310" s="2" t="s">
        <v>11</v>
      </c>
      <c r="D310" s="2" t="s">
        <v>12</v>
      </c>
      <c r="E310" s="2" t="s">
        <v>21</v>
      </c>
      <c r="F310" s="3">
        <v>2</v>
      </c>
      <c r="G310" s="3">
        <v>190</v>
      </c>
      <c r="H310" s="5">
        <f t="shared" si="4"/>
        <v>380</v>
      </c>
    </row>
    <row r="311" spans="1:8" x14ac:dyDescent="0.25">
      <c r="A311" s="4">
        <v>310</v>
      </c>
      <c r="B311" s="1">
        <v>44506</v>
      </c>
      <c r="C311" s="2" t="s">
        <v>11</v>
      </c>
      <c r="D311" s="2" t="s">
        <v>9</v>
      </c>
      <c r="E311" s="2" t="s">
        <v>21</v>
      </c>
      <c r="F311" s="3">
        <v>2</v>
      </c>
      <c r="G311" s="3">
        <v>190</v>
      </c>
      <c r="H311" s="5">
        <f t="shared" si="4"/>
        <v>380</v>
      </c>
    </row>
    <row r="312" spans="1:8" x14ac:dyDescent="0.25">
      <c r="A312" s="4">
        <v>311</v>
      </c>
      <c r="B312" s="1">
        <v>44507</v>
      </c>
      <c r="C312" s="2" t="s">
        <v>11</v>
      </c>
      <c r="D312" s="2" t="s">
        <v>22</v>
      </c>
      <c r="E312" s="2" t="s">
        <v>21</v>
      </c>
      <c r="F312" s="3">
        <v>2</v>
      </c>
      <c r="G312" s="3">
        <v>190</v>
      </c>
      <c r="H312" s="5">
        <f t="shared" si="4"/>
        <v>380</v>
      </c>
    </row>
    <row r="313" spans="1:8" x14ac:dyDescent="0.25">
      <c r="A313" s="4">
        <v>312</v>
      </c>
      <c r="B313" s="1">
        <v>44508</v>
      </c>
      <c r="C313" s="2" t="s">
        <v>11</v>
      </c>
      <c r="D313" s="2" t="s">
        <v>23</v>
      </c>
      <c r="E313" s="2" t="s">
        <v>21</v>
      </c>
      <c r="F313" s="3">
        <v>2</v>
      </c>
      <c r="G313" s="3">
        <v>190</v>
      </c>
      <c r="H313" s="5">
        <f t="shared" si="4"/>
        <v>380</v>
      </c>
    </row>
    <row r="314" spans="1:8" x14ac:dyDescent="0.25">
      <c r="A314" s="4">
        <v>313</v>
      </c>
      <c r="B314" s="1">
        <v>44509</v>
      </c>
      <c r="C314" s="2" t="s">
        <v>14</v>
      </c>
      <c r="D314" s="2" t="s">
        <v>23</v>
      </c>
      <c r="E314" s="2" t="s">
        <v>21</v>
      </c>
      <c r="F314" s="3">
        <v>2</v>
      </c>
      <c r="G314" s="3">
        <v>190</v>
      </c>
      <c r="H314" s="5">
        <f t="shared" si="4"/>
        <v>380</v>
      </c>
    </row>
    <row r="315" spans="1:8" x14ac:dyDescent="0.25">
      <c r="A315" s="4">
        <v>314</v>
      </c>
      <c r="B315" s="1">
        <v>44510</v>
      </c>
      <c r="C315" s="2" t="s">
        <v>16</v>
      </c>
      <c r="D315" s="2" t="s">
        <v>23</v>
      </c>
      <c r="E315" s="2" t="s">
        <v>21</v>
      </c>
      <c r="F315" s="3">
        <v>2</v>
      </c>
      <c r="G315" s="3">
        <v>190</v>
      </c>
      <c r="H315" s="5">
        <f t="shared" si="4"/>
        <v>380</v>
      </c>
    </row>
    <row r="316" spans="1:8" x14ac:dyDescent="0.25">
      <c r="A316" s="4">
        <v>315</v>
      </c>
      <c r="B316" s="1">
        <v>44511</v>
      </c>
      <c r="C316" s="2" t="s">
        <v>18</v>
      </c>
      <c r="D316" s="2" t="s">
        <v>23</v>
      </c>
      <c r="E316" s="2" t="s">
        <v>21</v>
      </c>
      <c r="F316" s="3">
        <v>2</v>
      </c>
      <c r="G316" s="3">
        <v>190</v>
      </c>
      <c r="H316" s="5">
        <f t="shared" si="4"/>
        <v>380</v>
      </c>
    </row>
    <row r="317" spans="1:8" x14ac:dyDescent="0.25">
      <c r="A317" s="4">
        <v>316</v>
      </c>
      <c r="B317" s="1">
        <v>44512</v>
      </c>
      <c r="C317" s="2" t="s">
        <v>20</v>
      </c>
      <c r="D317" s="2" t="s">
        <v>23</v>
      </c>
      <c r="E317" s="2" t="s">
        <v>21</v>
      </c>
      <c r="F317" s="3">
        <v>2</v>
      </c>
      <c r="G317" s="3">
        <v>190</v>
      </c>
      <c r="H317" s="5">
        <f t="shared" si="4"/>
        <v>380</v>
      </c>
    </row>
    <row r="318" spans="1:8" x14ac:dyDescent="0.25">
      <c r="A318" s="4">
        <v>317</v>
      </c>
      <c r="B318" s="1">
        <v>44513</v>
      </c>
      <c r="C318" s="2" t="s">
        <v>20</v>
      </c>
      <c r="D318" s="2" t="s">
        <v>9</v>
      </c>
      <c r="E318" s="2" t="s">
        <v>21</v>
      </c>
      <c r="F318" s="3">
        <v>2</v>
      </c>
      <c r="G318" s="3">
        <v>190</v>
      </c>
      <c r="H318" s="5">
        <f t="shared" si="4"/>
        <v>380</v>
      </c>
    </row>
    <row r="319" spans="1:8" x14ac:dyDescent="0.25">
      <c r="A319" s="4">
        <v>318</v>
      </c>
      <c r="B319" s="1">
        <v>44514</v>
      </c>
      <c r="C319" s="2" t="s">
        <v>20</v>
      </c>
      <c r="D319" s="2" t="s">
        <v>12</v>
      </c>
      <c r="E319" s="2" t="s">
        <v>21</v>
      </c>
      <c r="F319" s="3">
        <v>3</v>
      </c>
      <c r="G319" s="3">
        <v>190</v>
      </c>
      <c r="H319" s="5">
        <f t="shared" si="4"/>
        <v>570</v>
      </c>
    </row>
    <row r="320" spans="1:8" x14ac:dyDescent="0.25">
      <c r="A320" s="4">
        <v>319</v>
      </c>
      <c r="B320" s="1">
        <v>44515</v>
      </c>
      <c r="C320" s="2" t="s">
        <v>20</v>
      </c>
      <c r="D320" s="2" t="s">
        <v>22</v>
      </c>
      <c r="E320" s="2" t="s">
        <v>10</v>
      </c>
      <c r="F320" s="3">
        <v>2</v>
      </c>
      <c r="G320" s="3">
        <v>210</v>
      </c>
      <c r="H320" s="5">
        <f t="shared" si="4"/>
        <v>420</v>
      </c>
    </row>
    <row r="321" spans="1:8" x14ac:dyDescent="0.25">
      <c r="A321" s="4">
        <v>320</v>
      </c>
      <c r="B321" s="1">
        <v>44516</v>
      </c>
      <c r="C321" s="2" t="s">
        <v>20</v>
      </c>
      <c r="D321" s="2" t="s">
        <v>23</v>
      </c>
      <c r="E321" s="2" t="s">
        <v>10</v>
      </c>
      <c r="F321" s="3">
        <v>2</v>
      </c>
      <c r="G321" s="3">
        <v>210</v>
      </c>
      <c r="H321" s="5">
        <f t="shared" si="4"/>
        <v>420</v>
      </c>
    </row>
    <row r="322" spans="1:8" x14ac:dyDescent="0.25">
      <c r="A322" s="4">
        <v>321</v>
      </c>
      <c r="B322" s="1">
        <v>44517</v>
      </c>
      <c r="C322" s="2" t="s">
        <v>20</v>
      </c>
      <c r="D322" s="2" t="s">
        <v>9</v>
      </c>
      <c r="E322" s="2" t="s">
        <v>10</v>
      </c>
      <c r="F322" s="3">
        <v>2</v>
      </c>
      <c r="G322" s="3">
        <v>210</v>
      </c>
      <c r="H322" s="5">
        <f t="shared" si="4"/>
        <v>420</v>
      </c>
    </row>
    <row r="323" spans="1:8" x14ac:dyDescent="0.25">
      <c r="A323" s="4">
        <v>322</v>
      </c>
      <c r="B323" s="1">
        <v>44518</v>
      </c>
      <c r="C323" s="2" t="s">
        <v>20</v>
      </c>
      <c r="D323" s="2" t="s">
        <v>12</v>
      </c>
      <c r="E323" s="2" t="s">
        <v>10</v>
      </c>
      <c r="F323" s="3">
        <v>2</v>
      </c>
      <c r="G323" s="3">
        <v>210</v>
      </c>
      <c r="H323" s="5">
        <f t="shared" ref="H323:H367" si="5">F323*G323</f>
        <v>420</v>
      </c>
    </row>
    <row r="324" spans="1:8" x14ac:dyDescent="0.25">
      <c r="A324" s="4">
        <v>323</v>
      </c>
      <c r="B324" s="1">
        <v>44519</v>
      </c>
      <c r="C324" s="2" t="s">
        <v>20</v>
      </c>
      <c r="D324" s="2" t="s">
        <v>22</v>
      </c>
      <c r="E324" s="2" t="s">
        <v>10</v>
      </c>
      <c r="F324" s="3">
        <v>2</v>
      </c>
      <c r="G324" s="3">
        <v>210</v>
      </c>
      <c r="H324" s="5">
        <f t="shared" si="5"/>
        <v>420</v>
      </c>
    </row>
    <row r="325" spans="1:8" x14ac:dyDescent="0.25">
      <c r="A325" s="4">
        <v>324</v>
      </c>
      <c r="B325" s="1">
        <v>44520</v>
      </c>
      <c r="C325" s="2" t="s">
        <v>20</v>
      </c>
      <c r="D325" s="2" t="s">
        <v>23</v>
      </c>
      <c r="E325" s="2" t="s">
        <v>10</v>
      </c>
      <c r="F325" s="3">
        <v>2</v>
      </c>
      <c r="G325" s="3">
        <v>210</v>
      </c>
      <c r="H325" s="5">
        <f t="shared" si="5"/>
        <v>420</v>
      </c>
    </row>
    <row r="326" spans="1:8" x14ac:dyDescent="0.25">
      <c r="A326" s="4">
        <v>325</v>
      </c>
      <c r="B326" s="1">
        <v>44521</v>
      </c>
      <c r="C326" s="2" t="s">
        <v>8</v>
      </c>
      <c r="D326" s="2" t="s">
        <v>9</v>
      </c>
      <c r="E326" s="2" t="s">
        <v>10</v>
      </c>
      <c r="F326" s="3">
        <v>2</v>
      </c>
      <c r="G326" s="3">
        <v>210</v>
      </c>
      <c r="H326" s="5">
        <f t="shared" si="5"/>
        <v>420</v>
      </c>
    </row>
    <row r="327" spans="1:8" x14ac:dyDescent="0.25">
      <c r="A327" s="4">
        <v>326</v>
      </c>
      <c r="B327" s="1">
        <v>44522</v>
      </c>
      <c r="C327" s="2" t="s">
        <v>11</v>
      </c>
      <c r="D327" s="2" t="s">
        <v>12</v>
      </c>
      <c r="E327" s="2" t="s">
        <v>10</v>
      </c>
      <c r="F327" s="3">
        <v>2</v>
      </c>
      <c r="G327" s="3">
        <v>210</v>
      </c>
      <c r="H327" s="5">
        <f t="shared" si="5"/>
        <v>420</v>
      </c>
    </row>
    <row r="328" spans="1:8" x14ac:dyDescent="0.25">
      <c r="A328" s="4">
        <v>327</v>
      </c>
      <c r="B328" s="1">
        <v>44523</v>
      </c>
      <c r="C328" s="2" t="s">
        <v>14</v>
      </c>
      <c r="D328" s="2" t="s">
        <v>9</v>
      </c>
      <c r="E328" s="2" t="s">
        <v>10</v>
      </c>
      <c r="F328" s="3">
        <v>2</v>
      </c>
      <c r="G328" s="3">
        <v>210</v>
      </c>
      <c r="H328" s="5">
        <f t="shared" si="5"/>
        <v>420</v>
      </c>
    </row>
    <row r="329" spans="1:8" x14ac:dyDescent="0.25">
      <c r="A329" s="4">
        <v>328</v>
      </c>
      <c r="B329" s="1">
        <v>44524</v>
      </c>
      <c r="C329" s="2" t="s">
        <v>16</v>
      </c>
      <c r="D329" s="2" t="s">
        <v>12</v>
      </c>
      <c r="E329" s="2" t="s">
        <v>10</v>
      </c>
      <c r="F329" s="3">
        <v>2</v>
      </c>
      <c r="G329" s="3">
        <v>210</v>
      </c>
      <c r="H329" s="5">
        <f t="shared" si="5"/>
        <v>420</v>
      </c>
    </row>
    <row r="330" spans="1:8" x14ac:dyDescent="0.25">
      <c r="A330" s="4">
        <v>329</v>
      </c>
      <c r="B330" s="1">
        <v>44525</v>
      </c>
      <c r="C330" s="2" t="s">
        <v>18</v>
      </c>
      <c r="D330" s="2" t="s">
        <v>9</v>
      </c>
      <c r="E330" s="2" t="s">
        <v>10</v>
      </c>
      <c r="F330" s="3">
        <v>2</v>
      </c>
      <c r="G330" s="3">
        <v>210</v>
      </c>
      <c r="H330" s="5">
        <f t="shared" si="5"/>
        <v>420</v>
      </c>
    </row>
    <row r="331" spans="1:8" x14ac:dyDescent="0.25">
      <c r="A331" s="4">
        <v>330</v>
      </c>
      <c r="B331" s="1">
        <v>44526</v>
      </c>
      <c r="C331" s="2" t="s">
        <v>20</v>
      </c>
      <c r="D331" s="2" t="s">
        <v>9</v>
      </c>
      <c r="E331" s="2" t="s">
        <v>10</v>
      </c>
      <c r="F331" s="3">
        <v>2</v>
      </c>
      <c r="G331" s="3">
        <v>210</v>
      </c>
      <c r="H331" s="5">
        <f t="shared" si="5"/>
        <v>420</v>
      </c>
    </row>
    <row r="332" spans="1:8" x14ac:dyDescent="0.25">
      <c r="A332" s="4">
        <v>331</v>
      </c>
      <c r="B332" s="1">
        <v>44527</v>
      </c>
      <c r="C332" s="2" t="s">
        <v>8</v>
      </c>
      <c r="D332" s="2" t="s">
        <v>9</v>
      </c>
      <c r="E332" s="2" t="s">
        <v>21</v>
      </c>
      <c r="F332" s="3">
        <v>2</v>
      </c>
      <c r="G332" s="3">
        <v>190</v>
      </c>
      <c r="H332" s="5">
        <f t="shared" si="5"/>
        <v>380</v>
      </c>
    </row>
    <row r="333" spans="1:8" x14ac:dyDescent="0.25">
      <c r="A333" s="4">
        <v>332</v>
      </c>
      <c r="B333" s="1">
        <v>44528</v>
      </c>
      <c r="C333" s="2" t="s">
        <v>11</v>
      </c>
      <c r="D333" s="2" t="s">
        <v>12</v>
      </c>
      <c r="E333" s="2" t="s">
        <v>10</v>
      </c>
      <c r="F333" s="3">
        <v>7</v>
      </c>
      <c r="G333" s="3">
        <v>210</v>
      </c>
      <c r="H333" s="5">
        <f t="shared" si="5"/>
        <v>1470</v>
      </c>
    </row>
    <row r="334" spans="1:8" x14ac:dyDescent="0.25">
      <c r="A334" s="4">
        <v>333</v>
      </c>
      <c r="B334" s="1">
        <v>44529</v>
      </c>
      <c r="C334" s="2" t="s">
        <v>14</v>
      </c>
      <c r="D334" s="2" t="s">
        <v>12</v>
      </c>
      <c r="E334" s="2" t="s">
        <v>13</v>
      </c>
      <c r="F334" s="3">
        <v>6</v>
      </c>
      <c r="G334" s="3">
        <v>2100</v>
      </c>
      <c r="H334" s="5">
        <f t="shared" si="5"/>
        <v>12600</v>
      </c>
    </row>
    <row r="335" spans="1:8" x14ac:dyDescent="0.25">
      <c r="A335" s="4">
        <v>334</v>
      </c>
      <c r="B335" s="1">
        <v>44530</v>
      </c>
      <c r="C335" s="2" t="s">
        <v>16</v>
      </c>
      <c r="D335" s="2" t="s">
        <v>9</v>
      </c>
      <c r="E335" s="2" t="s">
        <v>15</v>
      </c>
      <c r="F335" s="3">
        <v>5</v>
      </c>
      <c r="G335" s="3">
        <v>1200</v>
      </c>
      <c r="H335" s="5">
        <f t="shared" si="5"/>
        <v>6000</v>
      </c>
    </row>
    <row r="336" spans="1:8" x14ac:dyDescent="0.25">
      <c r="A336" s="4">
        <v>335</v>
      </c>
      <c r="B336" s="1">
        <v>44531</v>
      </c>
      <c r="C336" s="2" t="s">
        <v>18</v>
      </c>
      <c r="D336" s="2" t="s">
        <v>9</v>
      </c>
      <c r="E336" s="2" t="s">
        <v>17</v>
      </c>
      <c r="F336" s="3">
        <v>4</v>
      </c>
      <c r="G336" s="3">
        <v>1500</v>
      </c>
      <c r="H336" s="5">
        <f t="shared" si="5"/>
        <v>6000</v>
      </c>
    </row>
    <row r="337" spans="1:8" x14ac:dyDescent="0.25">
      <c r="A337" s="4">
        <v>336</v>
      </c>
      <c r="B337" s="1">
        <v>44532</v>
      </c>
      <c r="C337" s="2" t="s">
        <v>20</v>
      </c>
      <c r="D337" s="2" t="s">
        <v>12</v>
      </c>
      <c r="E337" s="2" t="s">
        <v>17</v>
      </c>
      <c r="F337" s="3">
        <v>4</v>
      </c>
      <c r="G337" s="3">
        <v>1500</v>
      </c>
      <c r="H337" s="5">
        <f t="shared" si="5"/>
        <v>6000</v>
      </c>
    </row>
    <row r="338" spans="1:8" x14ac:dyDescent="0.25">
      <c r="A338" s="4">
        <v>337</v>
      </c>
      <c r="B338" s="1">
        <v>44533</v>
      </c>
      <c r="C338" s="2" t="s">
        <v>20</v>
      </c>
      <c r="D338" s="2" t="s">
        <v>9</v>
      </c>
      <c r="E338" s="2" t="s">
        <v>17</v>
      </c>
      <c r="F338" s="3">
        <v>4</v>
      </c>
      <c r="G338" s="3">
        <v>1500</v>
      </c>
      <c r="H338" s="5">
        <f t="shared" si="5"/>
        <v>6000</v>
      </c>
    </row>
    <row r="339" spans="1:8" x14ac:dyDescent="0.25">
      <c r="A339" s="4">
        <v>338</v>
      </c>
      <c r="B339" s="1">
        <v>44534</v>
      </c>
      <c r="C339" s="2" t="s">
        <v>8</v>
      </c>
      <c r="D339" s="2" t="s">
        <v>9</v>
      </c>
      <c r="E339" s="2" t="s">
        <v>17</v>
      </c>
      <c r="F339" s="3">
        <v>4</v>
      </c>
      <c r="G339" s="3">
        <v>1500</v>
      </c>
      <c r="H339" s="5">
        <f t="shared" si="5"/>
        <v>6000</v>
      </c>
    </row>
    <row r="340" spans="1:8" x14ac:dyDescent="0.25">
      <c r="A340" s="4">
        <v>339</v>
      </c>
      <c r="B340" s="1">
        <v>44535</v>
      </c>
      <c r="C340" s="2" t="s">
        <v>11</v>
      </c>
      <c r="D340" s="2" t="s">
        <v>9</v>
      </c>
      <c r="E340" s="2" t="s">
        <v>17</v>
      </c>
      <c r="F340" s="3">
        <v>4</v>
      </c>
      <c r="G340" s="3">
        <v>1500</v>
      </c>
      <c r="H340" s="5">
        <f t="shared" si="5"/>
        <v>6000</v>
      </c>
    </row>
    <row r="341" spans="1:8" x14ac:dyDescent="0.25">
      <c r="A341" s="4">
        <v>340</v>
      </c>
      <c r="B341" s="1">
        <v>44536</v>
      </c>
      <c r="C341" s="2" t="s">
        <v>14</v>
      </c>
      <c r="D341" s="2" t="s">
        <v>9</v>
      </c>
      <c r="E341" s="2" t="s">
        <v>17</v>
      </c>
      <c r="F341" s="3">
        <v>4</v>
      </c>
      <c r="G341" s="3">
        <v>1500</v>
      </c>
      <c r="H341" s="5">
        <f t="shared" si="5"/>
        <v>6000</v>
      </c>
    </row>
    <row r="342" spans="1:8" x14ac:dyDescent="0.25">
      <c r="A342" s="4">
        <v>341</v>
      </c>
      <c r="B342" s="1">
        <v>44537</v>
      </c>
      <c r="C342" s="2" t="s">
        <v>16</v>
      </c>
      <c r="D342" s="2" t="s">
        <v>9</v>
      </c>
      <c r="E342" s="2" t="s">
        <v>17</v>
      </c>
      <c r="F342" s="3">
        <v>4</v>
      </c>
      <c r="G342" s="3">
        <v>1500</v>
      </c>
      <c r="H342" s="5">
        <f t="shared" si="5"/>
        <v>6000</v>
      </c>
    </row>
    <row r="343" spans="1:8" x14ac:dyDescent="0.25">
      <c r="A343" s="4">
        <v>342</v>
      </c>
      <c r="B343" s="1">
        <v>44538</v>
      </c>
      <c r="C343" s="2" t="s">
        <v>18</v>
      </c>
      <c r="D343" s="2" t="s">
        <v>9</v>
      </c>
      <c r="E343" s="2" t="s">
        <v>17</v>
      </c>
      <c r="F343" s="3">
        <v>4</v>
      </c>
      <c r="G343" s="3">
        <v>1500</v>
      </c>
      <c r="H343" s="5">
        <f t="shared" si="5"/>
        <v>6000</v>
      </c>
    </row>
    <row r="344" spans="1:8" x14ac:dyDescent="0.25">
      <c r="A344" s="4">
        <v>343</v>
      </c>
      <c r="B344" s="1">
        <v>44539</v>
      </c>
      <c r="C344" s="2" t="s">
        <v>20</v>
      </c>
      <c r="D344" s="2" t="s">
        <v>9</v>
      </c>
      <c r="E344" s="2" t="s">
        <v>17</v>
      </c>
      <c r="F344" s="3">
        <v>4</v>
      </c>
      <c r="G344" s="3">
        <v>1500</v>
      </c>
      <c r="H344" s="5">
        <f t="shared" si="5"/>
        <v>6000</v>
      </c>
    </row>
    <row r="345" spans="1:8" x14ac:dyDescent="0.25">
      <c r="A345" s="4">
        <v>344</v>
      </c>
      <c r="B345" s="1">
        <v>44540</v>
      </c>
      <c r="C345" s="2" t="s">
        <v>8</v>
      </c>
      <c r="D345" s="2" t="s">
        <v>9</v>
      </c>
      <c r="E345" s="2" t="s">
        <v>10</v>
      </c>
      <c r="F345" s="3">
        <v>2</v>
      </c>
      <c r="G345" s="3">
        <v>210</v>
      </c>
      <c r="H345" s="5">
        <f t="shared" si="5"/>
        <v>420</v>
      </c>
    </row>
    <row r="346" spans="1:8" x14ac:dyDescent="0.25">
      <c r="A346" s="4">
        <v>345</v>
      </c>
      <c r="B346" s="1">
        <v>44541</v>
      </c>
      <c r="C346" s="2" t="s">
        <v>11</v>
      </c>
      <c r="D346" s="2" t="s">
        <v>12</v>
      </c>
      <c r="E346" s="2" t="s">
        <v>15</v>
      </c>
      <c r="F346" s="3">
        <v>7</v>
      </c>
      <c r="G346" s="3">
        <v>2100</v>
      </c>
      <c r="H346" s="5">
        <f t="shared" si="5"/>
        <v>14700</v>
      </c>
    </row>
    <row r="347" spans="1:8" x14ac:dyDescent="0.25">
      <c r="A347" s="4">
        <v>346</v>
      </c>
      <c r="B347" s="1">
        <v>44542</v>
      </c>
      <c r="C347" s="2" t="s">
        <v>14</v>
      </c>
      <c r="D347" s="2" t="s">
        <v>9</v>
      </c>
      <c r="E347" s="2" t="s">
        <v>17</v>
      </c>
      <c r="F347" s="3">
        <v>6</v>
      </c>
      <c r="G347" s="3">
        <v>1200</v>
      </c>
      <c r="H347" s="5">
        <f t="shared" si="5"/>
        <v>7200</v>
      </c>
    </row>
    <row r="348" spans="1:8" x14ac:dyDescent="0.25">
      <c r="A348" s="4">
        <v>347</v>
      </c>
      <c r="B348" s="1">
        <v>44543</v>
      </c>
      <c r="C348" s="2" t="s">
        <v>16</v>
      </c>
      <c r="D348" s="2" t="s">
        <v>12</v>
      </c>
      <c r="E348" s="2" t="s">
        <v>19</v>
      </c>
      <c r="F348" s="3">
        <v>5</v>
      </c>
      <c r="G348" s="3">
        <v>300</v>
      </c>
      <c r="H348" s="5">
        <f t="shared" si="5"/>
        <v>1500</v>
      </c>
    </row>
    <row r="349" spans="1:8" x14ac:dyDescent="0.25">
      <c r="A349" s="4">
        <v>348</v>
      </c>
      <c r="B349" s="1">
        <v>44544</v>
      </c>
      <c r="C349" s="2" t="s">
        <v>18</v>
      </c>
      <c r="D349" s="2" t="s">
        <v>9</v>
      </c>
      <c r="E349" s="2" t="s">
        <v>21</v>
      </c>
      <c r="F349" s="3">
        <v>4</v>
      </c>
      <c r="G349" s="3">
        <v>200</v>
      </c>
      <c r="H349" s="5">
        <f t="shared" si="5"/>
        <v>800</v>
      </c>
    </row>
    <row r="350" spans="1:8" x14ac:dyDescent="0.25">
      <c r="A350" s="4">
        <v>349</v>
      </c>
      <c r="B350" s="1">
        <v>44545</v>
      </c>
      <c r="C350" s="2" t="s">
        <v>20</v>
      </c>
      <c r="D350" s="2" t="s">
        <v>9</v>
      </c>
      <c r="E350" s="2" t="s">
        <v>10</v>
      </c>
      <c r="F350" s="3">
        <v>3</v>
      </c>
      <c r="G350" s="3">
        <v>190</v>
      </c>
      <c r="H350" s="5">
        <f t="shared" si="5"/>
        <v>570</v>
      </c>
    </row>
    <row r="351" spans="1:8" x14ac:dyDescent="0.25">
      <c r="A351" s="4">
        <v>350</v>
      </c>
      <c r="B351" s="1">
        <v>44546</v>
      </c>
      <c r="C351" s="2" t="s">
        <v>20</v>
      </c>
      <c r="D351" s="2" t="s">
        <v>9</v>
      </c>
      <c r="E351" s="2" t="s">
        <v>13</v>
      </c>
      <c r="F351" s="3">
        <v>2</v>
      </c>
      <c r="G351" s="3">
        <v>2100</v>
      </c>
      <c r="H351" s="5">
        <f t="shared" si="5"/>
        <v>4200</v>
      </c>
    </row>
    <row r="352" spans="1:8" x14ac:dyDescent="0.25">
      <c r="A352" s="4">
        <v>351</v>
      </c>
      <c r="B352" s="1">
        <v>44547</v>
      </c>
      <c r="C352" s="2" t="s">
        <v>8</v>
      </c>
      <c r="D352" s="2" t="s">
        <v>9</v>
      </c>
      <c r="E352" s="2" t="s">
        <v>10</v>
      </c>
      <c r="F352" s="3">
        <v>7</v>
      </c>
      <c r="G352" s="3">
        <v>210</v>
      </c>
      <c r="H352" s="5">
        <f t="shared" si="5"/>
        <v>1470</v>
      </c>
    </row>
    <row r="353" spans="1:8" x14ac:dyDescent="0.25">
      <c r="A353" s="4">
        <v>352</v>
      </c>
      <c r="B353" s="1">
        <v>44548</v>
      </c>
      <c r="C353" s="2" t="s">
        <v>8</v>
      </c>
      <c r="D353" s="2" t="s">
        <v>12</v>
      </c>
      <c r="E353" s="2" t="s">
        <v>13</v>
      </c>
      <c r="F353" s="3">
        <v>6</v>
      </c>
      <c r="G353" s="3">
        <v>2100</v>
      </c>
      <c r="H353" s="5">
        <f t="shared" si="5"/>
        <v>12600</v>
      </c>
    </row>
    <row r="354" spans="1:8" x14ac:dyDescent="0.25">
      <c r="A354" s="4">
        <v>353</v>
      </c>
      <c r="B354" s="1">
        <v>44549</v>
      </c>
      <c r="C354" s="2" t="s">
        <v>8</v>
      </c>
      <c r="D354" s="2" t="s">
        <v>22</v>
      </c>
      <c r="E354" s="2" t="s">
        <v>15</v>
      </c>
      <c r="F354" s="3">
        <v>5</v>
      </c>
      <c r="G354" s="3">
        <v>1200</v>
      </c>
      <c r="H354" s="5">
        <f t="shared" si="5"/>
        <v>6000</v>
      </c>
    </row>
    <row r="355" spans="1:8" x14ac:dyDescent="0.25">
      <c r="A355" s="4">
        <v>354</v>
      </c>
      <c r="B355" s="1">
        <v>44550</v>
      </c>
      <c r="C355" s="2" t="s">
        <v>8</v>
      </c>
      <c r="D355" s="2" t="s">
        <v>23</v>
      </c>
      <c r="E355" s="2" t="s">
        <v>17</v>
      </c>
      <c r="F355" s="3">
        <v>4</v>
      </c>
      <c r="G355" s="3">
        <v>1500</v>
      </c>
      <c r="H355" s="5">
        <f t="shared" si="5"/>
        <v>6000</v>
      </c>
    </row>
    <row r="356" spans="1:8" x14ac:dyDescent="0.25">
      <c r="A356" s="4">
        <v>355</v>
      </c>
      <c r="B356" s="1">
        <v>44551</v>
      </c>
      <c r="C356" s="2" t="s">
        <v>8</v>
      </c>
      <c r="D356" s="2" t="s">
        <v>9</v>
      </c>
      <c r="E356" s="2" t="s">
        <v>19</v>
      </c>
      <c r="F356" s="3">
        <v>3</v>
      </c>
      <c r="G356" s="3">
        <v>300</v>
      </c>
      <c r="H356" s="5">
        <f t="shared" si="5"/>
        <v>900</v>
      </c>
    </row>
    <row r="357" spans="1:8" x14ac:dyDescent="0.25">
      <c r="A357" s="4">
        <v>356</v>
      </c>
      <c r="B357" s="1">
        <v>44552</v>
      </c>
      <c r="C357" s="2" t="s">
        <v>8</v>
      </c>
      <c r="D357" s="2" t="s">
        <v>12</v>
      </c>
      <c r="E357" s="2" t="s">
        <v>21</v>
      </c>
      <c r="F357" s="3">
        <v>2</v>
      </c>
      <c r="G357" s="3">
        <v>190</v>
      </c>
      <c r="H357" s="5">
        <f t="shared" si="5"/>
        <v>380</v>
      </c>
    </row>
    <row r="358" spans="1:8" x14ac:dyDescent="0.25">
      <c r="A358" s="4">
        <v>357</v>
      </c>
      <c r="B358" s="1">
        <v>44553</v>
      </c>
      <c r="C358" s="2" t="s">
        <v>8</v>
      </c>
      <c r="D358" s="2" t="s">
        <v>22</v>
      </c>
      <c r="E358" s="2" t="s">
        <v>10</v>
      </c>
      <c r="F358" s="3">
        <v>7</v>
      </c>
      <c r="G358" s="3">
        <v>210</v>
      </c>
      <c r="H358" s="5">
        <f t="shared" si="5"/>
        <v>1470</v>
      </c>
    </row>
    <row r="359" spans="1:8" x14ac:dyDescent="0.25">
      <c r="A359" s="4">
        <v>358</v>
      </c>
      <c r="B359" s="1">
        <v>44554</v>
      </c>
      <c r="C359" s="2" t="s">
        <v>8</v>
      </c>
      <c r="D359" s="2" t="s">
        <v>23</v>
      </c>
      <c r="E359" s="2" t="s">
        <v>13</v>
      </c>
      <c r="F359" s="3">
        <v>6</v>
      </c>
      <c r="G359" s="3">
        <v>2100</v>
      </c>
      <c r="H359" s="5">
        <f t="shared" si="5"/>
        <v>12600</v>
      </c>
    </row>
    <row r="360" spans="1:8" x14ac:dyDescent="0.25">
      <c r="A360" s="4">
        <v>359</v>
      </c>
      <c r="B360" s="1">
        <v>44555</v>
      </c>
      <c r="C360" s="2" t="s">
        <v>11</v>
      </c>
      <c r="D360" s="2" t="s">
        <v>12</v>
      </c>
      <c r="E360" s="2" t="s">
        <v>13</v>
      </c>
      <c r="F360" s="3">
        <v>6</v>
      </c>
      <c r="G360" s="3">
        <v>2100</v>
      </c>
      <c r="H360" s="5">
        <f t="shared" si="5"/>
        <v>12600</v>
      </c>
    </row>
    <row r="361" spans="1:8" x14ac:dyDescent="0.25">
      <c r="A361" s="4">
        <v>360</v>
      </c>
      <c r="B361" s="1">
        <v>44556</v>
      </c>
      <c r="C361" s="2" t="s">
        <v>11</v>
      </c>
      <c r="D361" s="2" t="s">
        <v>9</v>
      </c>
      <c r="E361" s="2" t="s">
        <v>13</v>
      </c>
      <c r="F361" s="3">
        <v>6</v>
      </c>
      <c r="G361" s="3">
        <v>2100</v>
      </c>
      <c r="H361" s="5">
        <f t="shared" si="5"/>
        <v>12600</v>
      </c>
    </row>
    <row r="362" spans="1:8" x14ac:dyDescent="0.25">
      <c r="A362" s="4">
        <v>361</v>
      </c>
      <c r="B362" s="1">
        <v>44557</v>
      </c>
      <c r="C362" s="2" t="s">
        <v>11</v>
      </c>
      <c r="D362" s="2" t="s">
        <v>22</v>
      </c>
      <c r="E362" s="2" t="s">
        <v>13</v>
      </c>
      <c r="F362" s="3">
        <v>6</v>
      </c>
      <c r="G362" s="3">
        <v>2100</v>
      </c>
      <c r="H362" s="5">
        <f t="shared" si="5"/>
        <v>12600</v>
      </c>
    </row>
    <row r="363" spans="1:8" x14ac:dyDescent="0.25">
      <c r="A363" s="4">
        <v>362</v>
      </c>
      <c r="B363" s="1">
        <v>44558</v>
      </c>
      <c r="C363" s="2" t="s">
        <v>11</v>
      </c>
      <c r="D363" s="2" t="s">
        <v>23</v>
      </c>
      <c r="E363" s="2" t="s">
        <v>13</v>
      </c>
      <c r="F363" s="3">
        <v>6</v>
      </c>
      <c r="G363" s="3">
        <v>2100</v>
      </c>
      <c r="H363" s="5">
        <f t="shared" si="5"/>
        <v>12600</v>
      </c>
    </row>
    <row r="364" spans="1:8" x14ac:dyDescent="0.25">
      <c r="A364" s="4">
        <v>363</v>
      </c>
      <c r="B364" s="1">
        <v>44559</v>
      </c>
      <c r="C364" s="2" t="s">
        <v>11</v>
      </c>
      <c r="D364" s="2" t="s">
        <v>12</v>
      </c>
      <c r="E364" s="2" t="s">
        <v>13</v>
      </c>
      <c r="F364" s="3">
        <v>6</v>
      </c>
      <c r="G364" s="3">
        <v>2100</v>
      </c>
      <c r="H364" s="5">
        <f t="shared" si="5"/>
        <v>12600</v>
      </c>
    </row>
    <row r="365" spans="1:8" x14ac:dyDescent="0.25">
      <c r="A365" s="4">
        <v>364</v>
      </c>
      <c r="B365" s="1">
        <v>44560</v>
      </c>
      <c r="C365" s="2" t="s">
        <v>11</v>
      </c>
      <c r="D365" s="2" t="s">
        <v>9</v>
      </c>
      <c r="E365" s="2" t="s">
        <v>13</v>
      </c>
      <c r="F365" s="3">
        <v>6</v>
      </c>
      <c r="G365" s="3">
        <v>2100</v>
      </c>
      <c r="H365" s="5">
        <f t="shared" si="5"/>
        <v>12600</v>
      </c>
    </row>
    <row r="366" spans="1:8" x14ac:dyDescent="0.25">
      <c r="A366" s="4">
        <v>365</v>
      </c>
      <c r="B366" s="1">
        <v>44561</v>
      </c>
      <c r="C366" s="2" t="s">
        <v>11</v>
      </c>
      <c r="D366" s="2" t="s">
        <v>22</v>
      </c>
      <c r="E366" s="2" t="s">
        <v>15</v>
      </c>
      <c r="F366" s="3">
        <v>6</v>
      </c>
      <c r="G366" s="3">
        <v>1200</v>
      </c>
      <c r="H366" s="5">
        <f t="shared" si="5"/>
        <v>7200</v>
      </c>
    </row>
    <row r="367" spans="1:8" x14ac:dyDescent="0.25">
      <c r="A367" s="6">
        <v>366</v>
      </c>
      <c r="B367" s="7">
        <v>44562</v>
      </c>
      <c r="C367" s="8" t="s">
        <v>11</v>
      </c>
      <c r="D367" s="8" t="s">
        <v>23</v>
      </c>
      <c r="E367" s="8" t="s">
        <v>17</v>
      </c>
      <c r="F367" s="9">
        <v>5</v>
      </c>
      <c r="G367" s="9">
        <v>1500</v>
      </c>
      <c r="H367" s="10">
        <f t="shared" si="5"/>
        <v>7500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4653-DFFA-4704-A7A2-33DDEF6DD3A5}">
  <dimension ref="A1"/>
  <sheetViews>
    <sheetView tabSelected="1" workbookViewId="0">
      <selection activeCell="V10" sqref="V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F4E4-664D-4077-A1D1-479EB50C6660}">
  <dimension ref="A1"/>
  <sheetViews>
    <sheetView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2DB2-7367-4734-BA4F-6613DE10232C}">
  <dimension ref="A1"/>
  <sheetViews>
    <sheetView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8407-DC11-4F34-BAB2-EFBB0B29A41F}">
  <dimension ref="A1"/>
  <sheetViews>
    <sheetView zoomScaleNormal="100" workbookViewId="0">
      <selection activeCell="AA14" sqref="AA1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Detail2</vt:lpstr>
      <vt:lpstr>Sheet3</vt:lpstr>
      <vt:lpstr>DATA</vt:lpstr>
      <vt:lpstr>DB</vt:lpstr>
      <vt:lpstr>PD</vt:lpstr>
      <vt:lpstr>SP</vt:lpstr>
      <vt:lpstr>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 Dutta</dc:creator>
  <cp:lastModifiedBy>Ishan Dutta</cp:lastModifiedBy>
  <dcterms:created xsi:type="dcterms:W3CDTF">2025-12-17T07:41:50Z</dcterms:created>
  <dcterms:modified xsi:type="dcterms:W3CDTF">2025-12-24T07:39:48Z</dcterms:modified>
</cp:coreProperties>
</file>